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L:\TAMUK\Data_and_Analyses\Chapter_WCS\Analysis_R\Data_from_Primer\"/>
    </mc:Choice>
  </mc:AlternateContent>
  <xr:revisionPtr revIDLastSave="0" documentId="13_ncr:1_{AE28527C-88BD-400E-9EAD-57F0FA29732F}" xr6:coauthVersionLast="47" xr6:coauthVersionMax="47" xr10:uidLastSave="{00000000-0000-0000-0000-000000000000}"/>
  <bookViews>
    <workbookView xWindow="15883" yWindow="51" windowWidth="9231" windowHeight="4020" activeTab="1" xr2:uid="{B76D8C4E-6CA8-40CD-953C-8DDF907CDD00}"/>
  </bookViews>
  <sheets>
    <sheet name="FiveParts" sheetId="1" r:id="rId1"/>
    <sheet name="Results_cor" sheetId="2" r:id="rId2"/>
    <sheet name="Results_nocor" sheetId="4" r:id="rId3"/>
    <sheet name="Not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4" i="4" l="1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2" i="2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" i="1"/>
</calcChain>
</file>

<file path=xl/sharedStrings.xml><?xml version="1.0" encoding="utf-8"?>
<sst xmlns="http://schemas.openxmlformats.org/spreadsheetml/2006/main" count="1448" uniqueCount="311">
  <si>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</si>
  <si>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</si>
  <si>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</si>
  <si>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</si>
  <si>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</si>
  <si>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</si>
  <si>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</si>
  <si>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</si>
  <si>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</si>
  <si>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</si>
  <si>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</si>
  <si>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</si>
  <si>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</si>
  <si>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</si>
  <si>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</si>
  <si>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</si>
  <si>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</si>
  <si>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</si>
  <si>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</si>
  <si>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</si>
  <si>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</si>
  <si>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</si>
  <si>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</si>
  <si>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</si>
  <si>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</si>
  <si>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</si>
  <si>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</si>
  <si>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</si>
  <si>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</si>
  <si>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</si>
  <si>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</si>
  <si>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X</t>
  </si>
  <si>
    <t>RDA</t>
  </si>
  <si>
    <t>Fitted Model</t>
  </si>
  <si>
    <t>B1</t>
  </si>
  <si>
    <t>Partition</t>
  </si>
  <si>
    <t>X1 Only</t>
  </si>
  <si>
    <t>B2</t>
  </si>
  <si>
    <t>X2 Only</t>
  </si>
  <si>
    <t>B3</t>
  </si>
  <si>
    <t>X3 Only</t>
  </si>
  <si>
    <t>B4</t>
  </si>
  <si>
    <t>X4 Only</t>
  </si>
  <si>
    <t>B5</t>
  </si>
  <si>
    <t>X5 Only</t>
  </si>
  <si>
    <t>B6</t>
  </si>
  <si>
    <t>X1 and X2</t>
  </si>
  <si>
    <t>B7</t>
  </si>
  <si>
    <t>X1 and X3</t>
  </si>
  <si>
    <t>B8</t>
  </si>
  <si>
    <t>X1 and X4</t>
  </si>
  <si>
    <t>B9</t>
  </si>
  <si>
    <t>X1 and X5</t>
  </si>
  <si>
    <t>B10</t>
  </si>
  <si>
    <t>X2 and X3</t>
  </si>
  <si>
    <t>B11</t>
  </si>
  <si>
    <t>X2 and X4</t>
  </si>
  <si>
    <t>B12</t>
  </si>
  <si>
    <t>X2 and X5</t>
  </si>
  <si>
    <t>B13</t>
  </si>
  <si>
    <t>X3 and X4</t>
  </si>
  <si>
    <t>B14</t>
  </si>
  <si>
    <t>X3 and X5</t>
  </si>
  <si>
    <t>B15</t>
  </si>
  <si>
    <t>X4 and X5</t>
  </si>
  <si>
    <t>B16</t>
  </si>
  <si>
    <t>X1, X2, X3</t>
  </si>
  <si>
    <t>B17</t>
  </si>
  <si>
    <t>X1, X2, X4</t>
  </si>
  <si>
    <t>B18</t>
  </si>
  <si>
    <t>X1, X2, X5</t>
  </si>
  <si>
    <t>B19</t>
  </si>
  <si>
    <t>X1, X3, X4</t>
  </si>
  <si>
    <t>B20</t>
  </si>
  <si>
    <t>X1, X3, X5</t>
  </si>
  <si>
    <t>B21</t>
  </si>
  <si>
    <t>X1, X4, X5</t>
  </si>
  <si>
    <t>B22</t>
  </si>
  <si>
    <t>X2, X3, X4</t>
  </si>
  <si>
    <t>B23</t>
  </si>
  <si>
    <t>X2, X3, X5</t>
  </si>
  <si>
    <t>B24</t>
  </si>
  <si>
    <t>X2, X4, X5</t>
  </si>
  <si>
    <t>B25</t>
  </si>
  <si>
    <t>X3, X4, X5</t>
  </si>
  <si>
    <t>B26</t>
  </si>
  <si>
    <t>X1, X2, X3, X4</t>
  </si>
  <si>
    <t>B27</t>
  </si>
  <si>
    <t>X1, X2, X3, X5</t>
  </si>
  <si>
    <t>B28</t>
  </si>
  <si>
    <t>X1, X2, X4, X5</t>
  </si>
  <si>
    <t>B29</t>
  </si>
  <si>
    <t>X1, X3, X4, X5</t>
  </si>
  <si>
    <t>B30</t>
  </si>
  <si>
    <t>X2, X3, X4, X5</t>
  </si>
  <si>
    <t>B31</t>
  </si>
  <si>
    <t>X1, X2, X3, X4, X5</t>
  </si>
  <si>
    <t>Fraction</t>
  </si>
  <si>
    <t>A31 - A30</t>
  </si>
  <si>
    <t>A31 - A29</t>
  </si>
  <si>
    <t>A31 - A28</t>
  </si>
  <si>
    <t>A31 - A27</t>
  </si>
  <si>
    <t>A31 - A26</t>
  </si>
  <si>
    <t>X1</t>
  </si>
  <si>
    <t>X2</t>
  </si>
  <si>
    <t>X3</t>
  </si>
  <si>
    <t>X4</t>
  </si>
  <si>
    <t>X5</t>
  </si>
  <si>
    <t>X1,X2</t>
  </si>
  <si>
    <t>1,2</t>
  </si>
  <si>
    <t>X1,X3</t>
  </si>
  <si>
    <t>1,3</t>
  </si>
  <si>
    <t>X1,X4</t>
  </si>
  <si>
    <t>X1,X5</t>
  </si>
  <si>
    <t>X2,X3</t>
  </si>
  <si>
    <t>1,5</t>
  </si>
  <si>
    <t>X2,X4</t>
  </si>
  <si>
    <t>2,4</t>
  </si>
  <si>
    <t>X2,X5</t>
  </si>
  <si>
    <t>2,5</t>
  </si>
  <si>
    <t>X3,X4</t>
  </si>
  <si>
    <t>3,4</t>
  </si>
  <si>
    <t>X3,X5</t>
  </si>
  <si>
    <t>X4,X5</t>
  </si>
  <si>
    <t>X1,X2,X3</t>
  </si>
  <si>
    <t>X1,X2,X4</t>
  </si>
  <si>
    <t>X1,X2,X5</t>
  </si>
  <si>
    <t>Comps.</t>
  </si>
  <si>
    <t>X1,X3,X4</t>
  </si>
  <si>
    <t>X2,X3,X4</t>
  </si>
  <si>
    <t>2,3,4</t>
  </si>
  <si>
    <t>X1,X3,X5</t>
  </si>
  <si>
    <t>X1,X4,X5</t>
  </si>
  <si>
    <t>X2,X3,X5</t>
  </si>
  <si>
    <t>X2,X4,X5</t>
  </si>
  <si>
    <t>X3,X4,X5</t>
  </si>
  <si>
    <t>X1,X2,X3,X4</t>
  </si>
  <si>
    <t>X1,X2,X3,X5</t>
  </si>
  <si>
    <t>X1,X2,X4,X5</t>
  </si>
  <si>
    <t>X1,X3,X4,X5</t>
  </si>
  <si>
    <t>X2,X3,X4,X5</t>
  </si>
  <si>
    <t>X1,X2,X3,X4,X5</t>
  </si>
  <si>
    <t>A29 - A25 - A1</t>
  </si>
  <si>
    <t>A28 - A24 - A1</t>
  </si>
  <si>
    <t>A27 - A23 - A1</t>
  </si>
  <si>
    <t>A26 - A22 - A1</t>
  </si>
  <si>
    <t>A28 - A21 - A2</t>
  </si>
  <si>
    <t>A27 - A20 - A2</t>
  </si>
  <si>
    <t>A26 - A19 - A2</t>
  </si>
  <si>
    <t>A27 - A18 - A3</t>
  </si>
  <si>
    <t>A26 - A17 - A3</t>
  </si>
  <si>
    <t>A26 - A16 - A4</t>
  </si>
  <si>
    <t>(A21 - A15) - (A29 - A25) - (A28 - A24 - A1)</t>
  </si>
  <si>
    <t>1+6</t>
  </si>
  <si>
    <t>A29 - A25</t>
  </si>
  <si>
    <t>1+7</t>
  </si>
  <si>
    <t>A28 - A24</t>
  </si>
  <si>
    <t>1+8</t>
  </si>
  <si>
    <t>A27 - A23</t>
  </si>
  <si>
    <t>1+9</t>
  </si>
  <si>
    <t>A26 - A22</t>
  </si>
  <si>
    <t>2+10</t>
  </si>
  <si>
    <t>A28 - A21</t>
  </si>
  <si>
    <t>2+11</t>
  </si>
  <si>
    <t>A27 - A20</t>
  </si>
  <si>
    <t>2+12</t>
  </si>
  <si>
    <t>A26 - A19</t>
  </si>
  <si>
    <t>3+13</t>
  </si>
  <si>
    <t>A27 - A18</t>
  </si>
  <si>
    <t>3+14</t>
  </si>
  <si>
    <t>A26 - A17</t>
  </si>
  <si>
    <t>4+15</t>
  </si>
  <si>
    <t>A26 - A16</t>
  </si>
  <si>
    <t>1+6+7+16</t>
  </si>
  <si>
    <t>A21 - A15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</si>
  <si>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</si>
  <si>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</si>
  <si>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</si>
  <si>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</si>
  <si>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</si>
  <si>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</si>
  <si>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</si>
  <si>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</si>
  <si>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</si>
  <si>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</si>
  <si>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</si>
  <si>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</si>
  <si>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1+6+8+17</t>
  </si>
  <si>
    <t>A20 - A14</t>
  </si>
  <si>
    <t>(A20 - A14) - (A29 - A25) - (A27 - A23 - A1)</t>
  </si>
  <si>
    <t>1+7+8+19</t>
  </si>
  <si>
    <t>1+6+9+18</t>
  </si>
  <si>
    <t>I13</t>
  </si>
  <si>
    <t>I14</t>
  </si>
  <si>
    <t>I15</t>
  </si>
  <si>
    <t>I16</t>
  </si>
  <si>
    <t>I17</t>
  </si>
  <si>
    <t>I18</t>
  </si>
  <si>
    <t>A19 - A13</t>
  </si>
  <si>
    <t>(A19 - A13) - (A29 - A25) - (A26 - A22 - A1)</t>
  </si>
  <si>
    <t>A18 - A12</t>
  </si>
  <si>
    <t>(A18 - A12) - (A28 - A24) - (A27 - A23 - A1)</t>
  </si>
  <si>
    <t>I19</t>
  </si>
  <si>
    <t>I20</t>
  </si>
  <si>
    <t>I21</t>
  </si>
  <si>
    <t>I22</t>
  </si>
  <si>
    <t>I23</t>
  </si>
  <si>
    <t>I24</t>
  </si>
  <si>
    <t>I25</t>
  </si>
  <si>
    <t>I26</t>
  </si>
  <si>
    <t>A17 - A11</t>
  </si>
  <si>
    <t>1+7+9+20</t>
  </si>
  <si>
    <t>(A17 - A11) - (A28 - A24) - (A26 - A22 - A1)</t>
  </si>
  <si>
    <t>1+8+9+21</t>
  </si>
  <si>
    <t>A16 - A10</t>
  </si>
  <si>
    <t>(A16 - A10) - (A27 - A23) - (A26 - A22 - A1)</t>
  </si>
  <si>
    <t>2+10+11+22</t>
  </si>
  <si>
    <t>A18 - A9</t>
  </si>
  <si>
    <t>(A18 - A9) - (A28 - A21) - (A27 - A20 - A2)</t>
  </si>
  <si>
    <t>2+10+12+23</t>
  </si>
  <si>
    <t>A17 - A8</t>
  </si>
  <si>
    <t>(A17 - A8) - (A28 - A21) - (A26 - A19 - A2)</t>
  </si>
  <si>
    <t>2+11+12+24</t>
  </si>
  <si>
    <t>A16 - A7</t>
  </si>
  <si>
    <t>(A16 - A7) - (A27 - A20) - (A26 - A19 - A2)</t>
  </si>
  <si>
    <t>3+13+14+25</t>
  </si>
  <si>
    <t>A16 - A6</t>
  </si>
  <si>
    <t>(A16 - A6) - (A27 - A18) - (A26 - A17 - A3)</t>
  </si>
  <si>
    <t>I1 - A1</t>
  </si>
  <si>
    <t>Longform</t>
  </si>
  <si>
    <t>I2 - A1</t>
  </si>
  <si>
    <t>I3 - A1</t>
  </si>
  <si>
    <t>I4 - A1</t>
  </si>
  <si>
    <t>I5 - A2</t>
  </si>
  <si>
    <t>I6 - A2</t>
  </si>
  <si>
    <t>I7 - A2</t>
  </si>
  <si>
    <t>I8 - A3</t>
  </si>
  <si>
    <t>I10 - A4</t>
  </si>
  <si>
    <t>I9 - A3</t>
  </si>
  <si>
    <t>I12 - I1 - B8</t>
  </si>
  <si>
    <t>I11 - I1 - B7</t>
  </si>
  <si>
    <t>I13 - I1 - B9</t>
  </si>
  <si>
    <t>I14 - I2 - B8</t>
  </si>
  <si>
    <t>I15 - I2 - B9</t>
  </si>
  <si>
    <t>I16 - I3 - B9</t>
  </si>
  <si>
    <t>I17 - I5 - B11</t>
  </si>
  <si>
    <t>I18 - I5 - B12</t>
  </si>
  <si>
    <t>I19 - I6 - B12</t>
  </si>
  <si>
    <t>I20 - I8 - B14</t>
  </si>
  <si>
    <t>1+6+7+8+16+17+19+26</t>
  </si>
  <si>
    <t>Intermediary</t>
  </si>
  <si>
    <t>Formula</t>
  </si>
  <si>
    <t>Subtraction</t>
  </si>
  <si>
    <t>A9 - A5</t>
  </si>
  <si>
    <t>I21 - I11 - B8 - B17 - B19</t>
  </si>
  <si>
    <t>1+6+7+9+16+18+20+27</t>
  </si>
  <si>
    <t>A8 - A4</t>
  </si>
  <si>
    <t>I22 - I11 - B9 - B18 - B20</t>
  </si>
  <si>
    <t>1+6+8+9+17+18+21+28</t>
  </si>
  <si>
    <t>A7 - A3</t>
  </si>
  <si>
    <t>I23 - I12 - B9 - B18 - B21</t>
  </si>
  <si>
    <t>1+7+8+9+19+20+21+29</t>
  </si>
  <si>
    <t>A6 - A2</t>
  </si>
  <si>
    <t>I24 - I14 - B9 - B20 - B21</t>
  </si>
  <si>
    <t>A6 - A1</t>
  </si>
  <si>
    <t>2+10+11+12+22+23+24+30</t>
  </si>
  <si>
    <t>I25 - I17 - B12 - B23 - B24</t>
  </si>
  <si>
    <t>A1 - I11 - B8 - B9 - B17 - B18 - B19 - B20 - B21 - B26 - B27 - B28 - B29</t>
  </si>
  <si>
    <t>Shortform</t>
  </si>
  <si>
    <t>(A8 - A4) - (A21 - A15) - (A26 - A22 - A1) - [(A19 - A13) - (A29 - A25) - (A26 - A22 - A1)] - [(A17 - A11) - (A28 - A24) - (A26 - A22 - A1)]</t>
  </si>
  <si>
    <t>(A9 - A5) - (A21 - A15) - (A27 - A23 - A1) - [(A20 - A14) - (A29 - A25) - (A27 - A23 - A1)] - [(A18 - A12) - (A28 - A24) - (A27 - A23 - A1)]</t>
  </si>
  <si>
    <t>(A7 - A3) - (A20 - A14) - (A26 - A22 - A1) - [(A19 - A13) - (A29 - A25) - (A26 - A22 - A1)] - [(A16 - A10) - (A27 - A23) - (A26 - A22 - A1)]</t>
  </si>
  <si>
    <t>(A6 - A2) - (A18 - A12) - (A26 - A22 - A1) - [(A17 - A11) - (A28 - A24) - (A27 - A23 - A1)] - [(A16 - A10) - (A27 - A23) - (A26 - A22 - A1)]</t>
  </si>
  <si>
    <t>(A6 - A1) - (A18 - A9) - (A26 - A19 - A2) - [(A17 - A8) - (A28 - A21) - (A26 - A19 - A2)] - [(A16 - A7) - (A27 - A20) - (A26 - A19 - A2)]</t>
  </si>
  <si>
    <t>A1 - (A21 - A15) - (A27 - A23 - A1) - (A26 - A22 - A1) - [(A20 - A14) - (A29 - A25) - (A27 - A23 - A1)] - [(A19 - A13) - (A29 - A25) - (A26 - A22 - A1)] - [(A18 - A12) - (A28 - A24) - (A27 - A23 - A1)] - [(A17 - A11) - (A28 - A24) - (A26 - A22 - A1)] - [(A16 - A10) - (A27 - A23) - (A26 - A22 - A1)] - {(A9 - A5) - (A21 - A15) - (A27 - A23 - A1) - [(A20 - A14) - (A29 - A25) - (A27 - A23 - A1)] - [(A18 - A12) - (A28 - A24) - (A27 - A23 - A1)]} - {(A8 - A4) - (A21 - A15) - (A26 - A22 - A1) - [(A19 - A13) - (A29 - A25) - (A26 - A22 - A1)] - [(A17 - A11) - (A28 - A24) - (A26 - A22 - A1)]} - {(A7 - A3) - (A20 - A14) - (A26 - A22 - A1) - [(A19 - A13) - (A29 - A25) - (A26 - A22 - A1)] - [(A16 - A10) - (A27 - A23) - (A26 - A22 - A1)]} - {(A6 - A2) - (A18 - A12) - (A26 - A22 - A1) - [(A17 - A11) - (A28 - A24) - (A27 - A23 - A1)] - [(A16 - A10) - (A27 - A23) - (A26 - A22 - A1)]}</t>
  </si>
  <si>
    <t>Response</t>
  </si>
  <si>
    <t>Total</t>
  </si>
  <si>
    <t>RSS</t>
  </si>
  <si>
    <t>No.Groups</t>
  </si>
  <si>
    <t>Selections</t>
  </si>
  <si>
    <t>1,4</t>
  </si>
  <si>
    <t>4,5</t>
  </si>
  <si>
    <t>2,3</t>
  </si>
  <si>
    <t>3,5</t>
  </si>
  <si>
    <t>1,3,4</t>
  </si>
  <si>
    <t>1,4,5</t>
  </si>
  <si>
    <t>2,4,5</t>
  </si>
  <si>
    <t>1,2,4</t>
  </si>
  <si>
    <t>1,3,5</t>
  </si>
  <si>
    <t>1,2,5</t>
  </si>
  <si>
    <t>2,3,5</t>
  </si>
  <si>
    <t>1,2,4,5</t>
  </si>
  <si>
    <t>3,4,5</t>
  </si>
  <si>
    <t>1,2,3</t>
  </si>
  <si>
    <t>2,3,4,5</t>
  </si>
  <si>
    <t>1,3,4,5</t>
  </si>
  <si>
    <t>1,2,3,4</t>
  </si>
  <si>
    <t>1,2,3,5</t>
  </si>
  <si>
    <t>Success</t>
  </si>
  <si>
    <t>Failure</t>
  </si>
  <si>
    <t>1,2,3,4,5</t>
  </si>
  <si>
    <t>Code</t>
  </si>
  <si>
    <t>AdjustedR2</t>
  </si>
  <si>
    <t>R2</t>
  </si>
  <si>
    <t>spatial</t>
  </si>
  <si>
    <t>temporal</t>
  </si>
  <si>
    <t>structural</t>
  </si>
  <si>
    <t>environmental</t>
  </si>
  <si>
    <t>anthropogenic</t>
  </si>
  <si>
    <t>Correlated Model</t>
  </si>
  <si>
    <t>Non-correlated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</si>
</sst>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2" borderId="0" xfId="0" applyFill="1"/>
    <xf numFmtId="0" fontId="0" fillId="0" borderId="0" xfId="0" applyFill="1"/>
    <xf numFmtId="0" fontId="2" fillId="0" borderId="0" xfId="0" applyFont="1" applyAlignment="1">
      <alignment vertical="center"/>
    </xf>
    <xf numFmtId="11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7BEA-A08A-4FD4-AFB0-A431091B18AB}">
  <dimension ref="A1:AS33"/>
  <sheetViews>
    <sheetView workbookViewId="0">
      <selection activeCell="AS32" sqref="AS32"/>
    </sheetView>
  </sheetViews>
  <sheetFormatPr defaultRowHeight="14.6" x14ac:dyDescent="0.4"/>
  <cols>
    <col min="1" max="1" width="7.69140625" bestFit="1" customWidth="1"/>
    <col min="2" max="2" width="6.15234375" bestFit="1" customWidth="1"/>
    <col min="3" max="3" width="13.15234375" bestFit="1" customWidth="1"/>
    <col min="4" max="37" width="3.69140625" customWidth="1"/>
    <col min="38" max="38" width="7.53515625" bestFit="1" customWidth="1"/>
    <col min="39" max="39" width="15" bestFit="1" customWidth="1"/>
    <col min="40" max="40" width="56.69140625" bestFit="1" customWidth="1"/>
    <col min="41" max="41" width="35.3046875" bestFit="1" customWidth="1"/>
    <col min="43" max="43" width="11.53515625" bestFit="1" customWidth="1"/>
    <col min="44" max="44" width="23.07421875" bestFit="1" customWidth="1"/>
    <col min="45" max="45" width="10.3828125" bestFit="1" customWidth="1"/>
  </cols>
  <sheetData>
    <row r="1" spans="1:45" x14ac:dyDescent="0.4">
      <c r="D1" s="7" t="s">
        <v>33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1"/>
      <c r="AJ1" s="1"/>
      <c r="AK1" s="1"/>
    </row>
    <row r="2" spans="1:45" x14ac:dyDescent="0.4">
      <c r="A2" t="s">
        <v>301</v>
      </c>
      <c r="B2" t="s">
        <v>32</v>
      </c>
      <c r="C2" t="s">
        <v>127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>
        <v>25</v>
      </c>
      <c r="AC2">
        <v>26</v>
      </c>
      <c r="AD2">
        <v>27</v>
      </c>
      <c r="AE2">
        <v>28</v>
      </c>
      <c r="AF2">
        <v>29</v>
      </c>
      <c r="AG2">
        <v>30</v>
      </c>
      <c r="AH2">
        <v>31</v>
      </c>
      <c r="AL2" t="s">
        <v>97</v>
      </c>
      <c r="AM2" t="s">
        <v>35</v>
      </c>
      <c r="AN2" t="s">
        <v>268</v>
      </c>
      <c r="AO2" t="s">
        <v>229</v>
      </c>
      <c r="AQ2" t="s">
        <v>250</v>
      </c>
      <c r="AR2" t="s">
        <v>251</v>
      </c>
      <c r="AS2" t="s">
        <v>252</v>
      </c>
    </row>
    <row r="3" spans="1:45" x14ac:dyDescent="0.4">
      <c r="A3">
        <v>1</v>
      </c>
      <c r="B3" t="s">
        <v>0</v>
      </c>
      <c r="C3" t="s">
        <v>103</v>
      </c>
      <c r="D3" t="s">
        <v>31</v>
      </c>
      <c r="I3" t="s">
        <v>31</v>
      </c>
      <c r="J3" t="s">
        <v>31</v>
      </c>
      <c r="K3" t="s">
        <v>31</v>
      </c>
      <c r="L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AC3" t="s">
        <v>31</v>
      </c>
      <c r="AD3" t="s">
        <v>31</v>
      </c>
      <c r="AE3" t="s">
        <v>31</v>
      </c>
      <c r="AF3" t="s">
        <v>31</v>
      </c>
      <c r="AH3" t="s">
        <v>31</v>
      </c>
      <c r="AI3">
        <f>COUNTIF(D3:AH3,"X")</f>
        <v>16</v>
      </c>
      <c r="AL3" t="s">
        <v>34</v>
      </c>
      <c r="AM3" t="s">
        <v>36</v>
      </c>
      <c r="AN3" t="s">
        <v>98</v>
      </c>
      <c r="AO3" t="s">
        <v>98</v>
      </c>
    </row>
    <row r="4" spans="1:45" x14ac:dyDescent="0.4">
      <c r="A4">
        <v>2</v>
      </c>
      <c r="B4" t="s">
        <v>1</v>
      </c>
      <c r="C4" t="s">
        <v>104</v>
      </c>
      <c r="E4" t="s">
        <v>31</v>
      </c>
      <c r="I4" t="s">
        <v>31</v>
      </c>
      <c r="M4" t="s">
        <v>31</v>
      </c>
      <c r="N4" t="s">
        <v>31</v>
      </c>
      <c r="O4" t="s">
        <v>31</v>
      </c>
      <c r="S4" t="s">
        <v>31</v>
      </c>
      <c r="T4" t="s">
        <v>31</v>
      </c>
      <c r="U4" t="s">
        <v>31</v>
      </c>
      <c r="Y4" t="s">
        <v>31</v>
      </c>
      <c r="Z4" t="s">
        <v>31</v>
      </c>
      <c r="AA4" t="s">
        <v>31</v>
      </c>
      <c r="AC4" t="s">
        <v>31</v>
      </c>
      <c r="AD4" t="s">
        <v>31</v>
      </c>
      <c r="AE4" t="s">
        <v>31</v>
      </c>
      <c r="AG4" t="s">
        <v>31</v>
      </c>
      <c r="AH4" t="s">
        <v>31</v>
      </c>
      <c r="AI4">
        <f t="shared" ref="AI4:AI33" si="0">COUNTIF(D4:AH4,"X")</f>
        <v>16</v>
      </c>
      <c r="AL4" t="s">
        <v>37</v>
      </c>
      <c r="AM4" t="s">
        <v>38</v>
      </c>
      <c r="AN4" t="s">
        <v>99</v>
      </c>
      <c r="AO4" t="s">
        <v>99</v>
      </c>
    </row>
    <row r="5" spans="1:45" x14ac:dyDescent="0.4">
      <c r="A5">
        <v>3</v>
      </c>
      <c r="B5" t="s">
        <v>2</v>
      </c>
      <c r="C5" t="s">
        <v>105</v>
      </c>
      <c r="F5" t="s">
        <v>31</v>
      </c>
      <c r="J5" t="s">
        <v>31</v>
      </c>
      <c r="M5" t="s">
        <v>31</v>
      </c>
      <c r="P5" t="s">
        <v>31</v>
      </c>
      <c r="Q5" t="s">
        <v>31</v>
      </c>
      <c r="S5" t="s">
        <v>31</v>
      </c>
      <c r="V5" t="s">
        <v>31</v>
      </c>
      <c r="W5" t="s">
        <v>31</v>
      </c>
      <c r="Y5" t="s">
        <v>31</v>
      </c>
      <c r="Z5" t="s">
        <v>31</v>
      </c>
      <c r="AB5" t="s">
        <v>31</v>
      </c>
      <c r="AC5" t="s">
        <v>31</v>
      </c>
      <c r="AD5" t="s">
        <v>31</v>
      </c>
      <c r="AF5" t="s">
        <v>31</v>
      </c>
      <c r="AG5" t="s">
        <v>31</v>
      </c>
      <c r="AH5" t="s">
        <v>31</v>
      </c>
      <c r="AI5">
        <f t="shared" si="0"/>
        <v>16</v>
      </c>
      <c r="AL5" t="s">
        <v>39</v>
      </c>
      <c r="AM5" s="2" t="s">
        <v>40</v>
      </c>
      <c r="AN5" t="s">
        <v>100</v>
      </c>
      <c r="AO5" t="s">
        <v>100</v>
      </c>
    </row>
    <row r="6" spans="1:45" x14ac:dyDescent="0.4">
      <c r="A6">
        <v>4</v>
      </c>
      <c r="B6" t="s">
        <v>3</v>
      </c>
      <c r="C6" t="s">
        <v>106</v>
      </c>
      <c r="G6" t="s">
        <v>31</v>
      </c>
      <c r="K6" t="s">
        <v>31</v>
      </c>
      <c r="N6" t="s">
        <v>31</v>
      </c>
      <c r="P6" t="s">
        <v>31</v>
      </c>
      <c r="R6" t="s">
        <v>31</v>
      </c>
      <c r="T6" t="s">
        <v>31</v>
      </c>
      <c r="V6" t="s">
        <v>31</v>
      </c>
      <c r="X6" t="s">
        <v>31</v>
      </c>
      <c r="Y6" t="s">
        <v>31</v>
      </c>
      <c r="AA6" t="s">
        <v>31</v>
      </c>
      <c r="AB6" t="s">
        <v>31</v>
      </c>
      <c r="AC6" t="s">
        <v>31</v>
      </c>
      <c r="AE6" t="s">
        <v>31</v>
      </c>
      <c r="AF6" t="s">
        <v>31</v>
      </c>
      <c r="AG6" t="s">
        <v>31</v>
      </c>
      <c r="AH6" t="s">
        <v>31</v>
      </c>
      <c r="AI6">
        <f t="shared" si="0"/>
        <v>16</v>
      </c>
      <c r="AL6" t="s">
        <v>41</v>
      </c>
      <c r="AM6" s="2" t="s">
        <v>42</v>
      </c>
      <c r="AN6" t="s">
        <v>101</v>
      </c>
      <c r="AO6" t="s">
        <v>101</v>
      </c>
    </row>
    <row r="7" spans="1:45" x14ac:dyDescent="0.4">
      <c r="A7">
        <v>5</v>
      </c>
      <c r="B7" t="s">
        <v>4</v>
      </c>
      <c r="C7" t="s">
        <v>107</v>
      </c>
      <c r="H7" t="s">
        <v>31</v>
      </c>
      <c r="L7" t="s">
        <v>31</v>
      </c>
      <c r="O7" t="s">
        <v>31</v>
      </c>
      <c r="Q7" t="s">
        <v>31</v>
      </c>
      <c r="R7" t="s">
        <v>31</v>
      </c>
      <c r="U7" t="s">
        <v>31</v>
      </c>
      <c r="W7" t="s">
        <v>31</v>
      </c>
      <c r="X7" t="s">
        <v>31</v>
      </c>
      <c r="Z7" t="s">
        <v>31</v>
      </c>
      <c r="AA7" t="s">
        <v>31</v>
      </c>
      <c r="AB7" t="s">
        <v>31</v>
      </c>
      <c r="AD7" t="s">
        <v>31</v>
      </c>
      <c r="AE7" t="s">
        <v>31</v>
      </c>
      <c r="AF7" t="s">
        <v>31</v>
      </c>
      <c r="AG7" t="s">
        <v>31</v>
      </c>
      <c r="AH7" t="s">
        <v>31</v>
      </c>
      <c r="AI7">
        <f t="shared" si="0"/>
        <v>16</v>
      </c>
      <c r="AL7" t="s">
        <v>43</v>
      </c>
      <c r="AM7" s="2" t="s">
        <v>44</v>
      </c>
      <c r="AN7" t="s">
        <v>102</v>
      </c>
      <c r="AO7" t="s">
        <v>102</v>
      </c>
    </row>
    <row r="8" spans="1:45" x14ac:dyDescent="0.4">
      <c r="A8" t="s">
        <v>109</v>
      </c>
      <c r="B8" t="s">
        <v>5</v>
      </c>
      <c r="C8" t="s">
        <v>108</v>
      </c>
      <c r="D8" t="s">
        <v>31</v>
      </c>
      <c r="E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  <c r="AC8" t="s">
        <v>31</v>
      </c>
      <c r="AD8" t="s">
        <v>31</v>
      </c>
      <c r="AE8" t="s">
        <v>31</v>
      </c>
      <c r="AF8" t="s">
        <v>31</v>
      </c>
      <c r="AG8" t="s">
        <v>31</v>
      </c>
      <c r="AH8" t="s">
        <v>31</v>
      </c>
      <c r="AI8">
        <f t="shared" si="0"/>
        <v>24</v>
      </c>
      <c r="AL8" t="s">
        <v>45</v>
      </c>
      <c r="AM8" t="s">
        <v>46</v>
      </c>
      <c r="AN8" t="s">
        <v>228</v>
      </c>
      <c r="AO8" t="s">
        <v>142</v>
      </c>
      <c r="AQ8" t="s">
        <v>175</v>
      </c>
      <c r="AR8" t="s">
        <v>153</v>
      </c>
      <c r="AS8" t="s">
        <v>154</v>
      </c>
    </row>
    <row r="9" spans="1:45" x14ac:dyDescent="0.4">
      <c r="A9" t="s">
        <v>111</v>
      </c>
      <c r="B9" t="s">
        <v>6</v>
      </c>
      <c r="C9" t="s">
        <v>110</v>
      </c>
      <c r="D9" t="s">
        <v>31</v>
      </c>
      <c r="F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P9" t="s">
        <v>31</v>
      </c>
      <c r="Q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  <c r="Z9" t="s">
        <v>31</v>
      </c>
      <c r="AB9" t="s">
        <v>31</v>
      </c>
      <c r="AC9" t="s">
        <v>31</v>
      </c>
      <c r="AD9" t="s">
        <v>31</v>
      </c>
      <c r="AE9" t="s">
        <v>31</v>
      </c>
      <c r="AF9" t="s">
        <v>31</v>
      </c>
      <c r="AG9" t="s">
        <v>31</v>
      </c>
      <c r="AH9" t="s">
        <v>31</v>
      </c>
      <c r="AI9">
        <f t="shared" si="0"/>
        <v>24</v>
      </c>
      <c r="AL9" t="s">
        <v>47</v>
      </c>
      <c r="AM9" t="s">
        <v>48</v>
      </c>
      <c r="AN9" t="s">
        <v>230</v>
      </c>
      <c r="AO9" t="s">
        <v>143</v>
      </c>
      <c r="AQ9" t="s">
        <v>176</v>
      </c>
      <c r="AR9" t="s">
        <v>155</v>
      </c>
      <c r="AS9" t="s">
        <v>156</v>
      </c>
    </row>
    <row r="10" spans="1:45" x14ac:dyDescent="0.4">
      <c r="A10" t="s">
        <v>280</v>
      </c>
      <c r="B10" t="s">
        <v>7</v>
      </c>
      <c r="C10" t="s">
        <v>112</v>
      </c>
      <c r="D10" t="s">
        <v>31</v>
      </c>
      <c r="G10" t="s">
        <v>31</v>
      </c>
      <c r="I10" t="s">
        <v>31</v>
      </c>
      <c r="J10" t="s">
        <v>31</v>
      </c>
      <c r="K10" t="s">
        <v>31</v>
      </c>
      <c r="L10" t="s">
        <v>31</v>
      </c>
      <c r="N10" t="s">
        <v>31</v>
      </c>
      <c r="P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AA10" t="s">
        <v>31</v>
      </c>
      <c r="AB10" t="s">
        <v>31</v>
      </c>
      <c r="AC10" t="s">
        <v>31</v>
      </c>
      <c r="AD10" t="s">
        <v>31</v>
      </c>
      <c r="AE10" t="s">
        <v>31</v>
      </c>
      <c r="AF10" t="s">
        <v>31</v>
      </c>
      <c r="AG10" t="s">
        <v>31</v>
      </c>
      <c r="AH10" t="s">
        <v>31</v>
      </c>
      <c r="AI10">
        <f t="shared" si="0"/>
        <v>24</v>
      </c>
      <c r="AL10" t="s">
        <v>49</v>
      </c>
      <c r="AM10" t="s">
        <v>50</v>
      </c>
      <c r="AN10" t="s">
        <v>231</v>
      </c>
      <c r="AO10" t="s">
        <v>144</v>
      </c>
      <c r="AQ10" t="s">
        <v>177</v>
      </c>
      <c r="AR10" t="s">
        <v>157</v>
      </c>
      <c r="AS10" t="s">
        <v>158</v>
      </c>
    </row>
    <row r="11" spans="1:45" x14ac:dyDescent="0.4">
      <c r="A11" t="s">
        <v>115</v>
      </c>
      <c r="B11" t="s">
        <v>8</v>
      </c>
      <c r="C11" t="s">
        <v>113</v>
      </c>
      <c r="D11" t="s">
        <v>31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O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Z11" t="s">
        <v>31</v>
      </c>
      <c r="AA11" t="s">
        <v>31</v>
      </c>
      <c r="AB11" t="s">
        <v>31</v>
      </c>
      <c r="AC11" t="s">
        <v>31</v>
      </c>
      <c r="AD11" t="s">
        <v>31</v>
      </c>
      <c r="AE11" t="s">
        <v>31</v>
      </c>
      <c r="AF11" t="s">
        <v>31</v>
      </c>
      <c r="AG11" t="s">
        <v>31</v>
      </c>
      <c r="AH11" t="s">
        <v>31</v>
      </c>
      <c r="AI11">
        <f t="shared" si="0"/>
        <v>24</v>
      </c>
      <c r="AL11" t="s">
        <v>51</v>
      </c>
      <c r="AM11" t="s">
        <v>52</v>
      </c>
      <c r="AN11" t="s">
        <v>232</v>
      </c>
      <c r="AO11" t="s">
        <v>145</v>
      </c>
      <c r="AQ11" t="s">
        <v>178</v>
      </c>
      <c r="AR11" t="s">
        <v>159</v>
      </c>
      <c r="AS11" t="s">
        <v>160</v>
      </c>
    </row>
    <row r="12" spans="1:45" x14ac:dyDescent="0.4">
      <c r="A12" t="s">
        <v>282</v>
      </c>
      <c r="B12" t="s">
        <v>9</v>
      </c>
      <c r="C12" t="s">
        <v>114</v>
      </c>
      <c r="E12" t="s">
        <v>31</v>
      </c>
      <c r="F12" t="s">
        <v>31</v>
      </c>
      <c r="I12" t="s">
        <v>31</v>
      </c>
      <c r="J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Y12" t="s">
        <v>31</v>
      </c>
      <c r="Z12" t="s">
        <v>31</v>
      </c>
      <c r="AA12" t="s">
        <v>31</v>
      </c>
      <c r="AB12" t="s">
        <v>31</v>
      </c>
      <c r="AC12" t="s">
        <v>31</v>
      </c>
      <c r="AD12" t="s">
        <v>31</v>
      </c>
      <c r="AE12" t="s">
        <v>31</v>
      </c>
      <c r="AF12" t="s">
        <v>31</v>
      </c>
      <c r="AG12" t="s">
        <v>31</v>
      </c>
      <c r="AH12" t="s">
        <v>31</v>
      </c>
      <c r="AI12">
        <f t="shared" si="0"/>
        <v>24</v>
      </c>
      <c r="AL12" t="s">
        <v>53</v>
      </c>
      <c r="AM12" t="s">
        <v>54</v>
      </c>
      <c r="AN12" t="s">
        <v>233</v>
      </c>
      <c r="AO12" t="s">
        <v>146</v>
      </c>
      <c r="AQ12" t="s">
        <v>179</v>
      </c>
      <c r="AR12" t="s">
        <v>161</v>
      </c>
      <c r="AS12" t="s">
        <v>162</v>
      </c>
    </row>
    <row r="13" spans="1:45" x14ac:dyDescent="0.4">
      <c r="A13" t="s">
        <v>117</v>
      </c>
      <c r="B13" t="s">
        <v>10</v>
      </c>
      <c r="C13" t="s">
        <v>116</v>
      </c>
      <c r="E13" t="s">
        <v>31</v>
      </c>
      <c r="G13" t="s">
        <v>31</v>
      </c>
      <c r="I13" t="s">
        <v>31</v>
      </c>
      <c r="K13" t="s">
        <v>31</v>
      </c>
      <c r="M13" t="s">
        <v>31</v>
      </c>
      <c r="N13" t="s">
        <v>31</v>
      </c>
      <c r="O13" t="s">
        <v>31</v>
      </c>
      <c r="P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X13" t="s">
        <v>31</v>
      </c>
      <c r="Y13" t="s">
        <v>31</v>
      </c>
      <c r="Z13" t="s">
        <v>31</v>
      </c>
      <c r="AA13" t="s">
        <v>31</v>
      </c>
      <c r="AB13" t="s">
        <v>31</v>
      </c>
      <c r="AC13" t="s">
        <v>31</v>
      </c>
      <c r="AD13" t="s">
        <v>31</v>
      </c>
      <c r="AE13" t="s">
        <v>31</v>
      </c>
      <c r="AF13" t="s">
        <v>31</v>
      </c>
      <c r="AG13" t="s">
        <v>31</v>
      </c>
      <c r="AH13" t="s">
        <v>31</v>
      </c>
      <c r="AI13">
        <f t="shared" si="0"/>
        <v>24</v>
      </c>
      <c r="AL13" t="s">
        <v>55</v>
      </c>
      <c r="AM13" t="s">
        <v>56</v>
      </c>
      <c r="AN13" t="s">
        <v>234</v>
      </c>
      <c r="AO13" t="s">
        <v>147</v>
      </c>
      <c r="AQ13" t="s">
        <v>180</v>
      </c>
      <c r="AR13" t="s">
        <v>163</v>
      </c>
      <c r="AS13" t="s">
        <v>164</v>
      </c>
    </row>
    <row r="14" spans="1:45" x14ac:dyDescent="0.4">
      <c r="A14" t="s">
        <v>119</v>
      </c>
      <c r="B14" t="s">
        <v>11</v>
      </c>
      <c r="C14" t="s">
        <v>118</v>
      </c>
      <c r="E14" t="s">
        <v>31</v>
      </c>
      <c r="H14" t="s">
        <v>31</v>
      </c>
      <c r="I14" t="s">
        <v>31</v>
      </c>
      <c r="L14" t="s">
        <v>31</v>
      </c>
      <c r="M14" t="s">
        <v>31</v>
      </c>
      <c r="N14" t="s">
        <v>31</v>
      </c>
      <c r="O14" t="s">
        <v>31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B14" t="s">
        <v>31</v>
      </c>
      <c r="AC14" t="s">
        <v>31</v>
      </c>
      <c r="AD14" t="s">
        <v>31</v>
      </c>
      <c r="AE14" t="s">
        <v>31</v>
      </c>
      <c r="AF14" t="s">
        <v>31</v>
      </c>
      <c r="AG14" t="s">
        <v>31</v>
      </c>
      <c r="AH14" t="s">
        <v>31</v>
      </c>
      <c r="AI14">
        <f t="shared" si="0"/>
        <v>24</v>
      </c>
      <c r="AL14" t="s">
        <v>57</v>
      </c>
      <c r="AM14" t="s">
        <v>58</v>
      </c>
      <c r="AN14" t="s">
        <v>235</v>
      </c>
      <c r="AO14" t="s">
        <v>148</v>
      </c>
      <c r="AQ14" t="s">
        <v>181</v>
      </c>
      <c r="AR14" t="s">
        <v>165</v>
      </c>
      <c r="AS14" t="s">
        <v>166</v>
      </c>
    </row>
    <row r="15" spans="1:45" x14ac:dyDescent="0.4">
      <c r="A15" t="s">
        <v>121</v>
      </c>
      <c r="B15" t="s">
        <v>12</v>
      </c>
      <c r="C15" t="s">
        <v>120</v>
      </c>
      <c r="F15" t="s">
        <v>31</v>
      </c>
      <c r="G15" t="s">
        <v>31</v>
      </c>
      <c r="J15" t="s">
        <v>31</v>
      </c>
      <c r="K15" t="s">
        <v>31</v>
      </c>
      <c r="M15" t="s">
        <v>31</v>
      </c>
      <c r="N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B15" t="s">
        <v>31</v>
      </c>
      <c r="AC15" t="s">
        <v>31</v>
      </c>
      <c r="AD15" t="s">
        <v>31</v>
      </c>
      <c r="AE15" t="s">
        <v>31</v>
      </c>
      <c r="AF15" t="s">
        <v>31</v>
      </c>
      <c r="AG15" t="s">
        <v>31</v>
      </c>
      <c r="AH15" t="s">
        <v>31</v>
      </c>
      <c r="AI15">
        <f t="shared" si="0"/>
        <v>24</v>
      </c>
      <c r="AL15" t="s">
        <v>59</v>
      </c>
      <c r="AM15" s="2" t="s">
        <v>60</v>
      </c>
      <c r="AN15" t="s">
        <v>236</v>
      </c>
      <c r="AO15" t="s">
        <v>149</v>
      </c>
      <c r="AQ15" t="s">
        <v>182</v>
      </c>
      <c r="AR15" t="s">
        <v>167</v>
      </c>
      <c r="AS15" t="s">
        <v>168</v>
      </c>
    </row>
    <row r="16" spans="1:45" x14ac:dyDescent="0.4">
      <c r="A16" t="s">
        <v>283</v>
      </c>
      <c r="B16" t="s">
        <v>13</v>
      </c>
      <c r="C16" t="s">
        <v>122</v>
      </c>
      <c r="F16" t="s">
        <v>31</v>
      </c>
      <c r="H16" t="s">
        <v>31</v>
      </c>
      <c r="J16" t="s">
        <v>31</v>
      </c>
      <c r="L16" t="s">
        <v>31</v>
      </c>
      <c r="M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B16" t="s">
        <v>31</v>
      </c>
      <c r="AC16" t="s">
        <v>31</v>
      </c>
      <c r="AD16" t="s">
        <v>31</v>
      </c>
      <c r="AE16" t="s">
        <v>31</v>
      </c>
      <c r="AF16" t="s">
        <v>31</v>
      </c>
      <c r="AG16" t="s">
        <v>31</v>
      </c>
      <c r="AH16" t="s">
        <v>31</v>
      </c>
      <c r="AI16">
        <f t="shared" si="0"/>
        <v>24</v>
      </c>
      <c r="AL16" t="s">
        <v>61</v>
      </c>
      <c r="AM16" s="2" t="s">
        <v>62</v>
      </c>
      <c r="AN16" t="s">
        <v>238</v>
      </c>
      <c r="AO16" t="s">
        <v>150</v>
      </c>
      <c r="AQ16" t="s">
        <v>183</v>
      </c>
      <c r="AR16" t="s">
        <v>169</v>
      </c>
      <c r="AS16" t="s">
        <v>170</v>
      </c>
    </row>
    <row r="17" spans="1:45" x14ac:dyDescent="0.4">
      <c r="A17" t="s">
        <v>281</v>
      </c>
      <c r="B17" t="s">
        <v>14</v>
      </c>
      <c r="C17" t="s">
        <v>123</v>
      </c>
      <c r="G17" t="s">
        <v>31</v>
      </c>
      <c r="H17" t="s">
        <v>31</v>
      </c>
      <c r="K17" t="s">
        <v>31</v>
      </c>
      <c r="L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B17" t="s">
        <v>31</v>
      </c>
      <c r="AC17" t="s">
        <v>31</v>
      </c>
      <c r="AD17" t="s">
        <v>31</v>
      </c>
      <c r="AE17" t="s">
        <v>31</v>
      </c>
      <c r="AF17" t="s">
        <v>31</v>
      </c>
      <c r="AG17" t="s">
        <v>31</v>
      </c>
      <c r="AH17" t="s">
        <v>31</v>
      </c>
      <c r="AI17">
        <f t="shared" si="0"/>
        <v>24</v>
      </c>
      <c r="AL17" t="s">
        <v>63</v>
      </c>
      <c r="AM17" s="2" t="s">
        <v>64</v>
      </c>
      <c r="AN17" t="s">
        <v>237</v>
      </c>
      <c r="AO17" t="s">
        <v>151</v>
      </c>
      <c r="AQ17" t="s">
        <v>184</v>
      </c>
      <c r="AR17" t="s">
        <v>171</v>
      </c>
      <c r="AS17" t="s">
        <v>172</v>
      </c>
    </row>
    <row r="18" spans="1:45" x14ac:dyDescent="0.4">
      <c r="A18" t="s">
        <v>293</v>
      </c>
      <c r="B18" t="s">
        <v>15</v>
      </c>
      <c r="C18" t="s">
        <v>124</v>
      </c>
      <c r="D18" t="s">
        <v>31</v>
      </c>
      <c r="E18" t="s">
        <v>31</v>
      </c>
      <c r="F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B18" t="s">
        <v>31</v>
      </c>
      <c r="AC18" t="s">
        <v>31</v>
      </c>
      <c r="AD18" t="s">
        <v>31</v>
      </c>
      <c r="AE18" t="s">
        <v>31</v>
      </c>
      <c r="AF18" t="s">
        <v>31</v>
      </c>
      <c r="AG18" t="s">
        <v>31</v>
      </c>
      <c r="AH18" t="s">
        <v>31</v>
      </c>
      <c r="AI18">
        <f t="shared" si="0"/>
        <v>28</v>
      </c>
      <c r="AL18" t="s">
        <v>65</v>
      </c>
      <c r="AM18" s="3" t="s">
        <v>66</v>
      </c>
      <c r="AN18" s="3" t="s">
        <v>240</v>
      </c>
      <c r="AO18" t="s">
        <v>152</v>
      </c>
      <c r="AQ18" t="s">
        <v>185</v>
      </c>
      <c r="AR18" t="s">
        <v>173</v>
      </c>
      <c r="AS18" t="s">
        <v>174</v>
      </c>
    </row>
    <row r="19" spans="1:45" x14ac:dyDescent="0.4">
      <c r="A19" t="s">
        <v>287</v>
      </c>
      <c r="B19" t="s">
        <v>16</v>
      </c>
      <c r="C19" t="s">
        <v>125</v>
      </c>
      <c r="D19" t="s">
        <v>31</v>
      </c>
      <c r="E19" t="s">
        <v>31</v>
      </c>
      <c r="G19" t="s">
        <v>31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t="s">
        <v>31</v>
      </c>
      <c r="AC19" t="s">
        <v>31</v>
      </c>
      <c r="AD19" t="s">
        <v>31</v>
      </c>
      <c r="AE19" t="s">
        <v>31</v>
      </c>
      <c r="AF19" t="s">
        <v>31</v>
      </c>
      <c r="AG19" t="s">
        <v>31</v>
      </c>
      <c r="AH19" t="s">
        <v>31</v>
      </c>
      <c r="AI19">
        <f t="shared" si="0"/>
        <v>28</v>
      </c>
      <c r="AL19" t="s">
        <v>67</v>
      </c>
      <c r="AM19" s="3" t="s">
        <v>68</v>
      </c>
      <c r="AN19" s="3" t="s">
        <v>239</v>
      </c>
      <c r="AO19" t="s">
        <v>189</v>
      </c>
      <c r="AQ19" t="s">
        <v>186</v>
      </c>
      <c r="AR19" t="s">
        <v>187</v>
      </c>
      <c r="AS19" t="s">
        <v>188</v>
      </c>
    </row>
    <row r="20" spans="1:45" x14ac:dyDescent="0.4">
      <c r="A20" t="s">
        <v>289</v>
      </c>
      <c r="B20" t="s">
        <v>17</v>
      </c>
      <c r="C20" t="s">
        <v>126</v>
      </c>
      <c r="D20" t="s">
        <v>31</v>
      </c>
      <c r="E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31</v>
      </c>
      <c r="M20" t="s">
        <v>31</v>
      </c>
      <c r="N20" t="s">
        <v>31</v>
      </c>
      <c r="O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  <c r="AB20" t="s">
        <v>31</v>
      </c>
      <c r="AC20" t="s">
        <v>31</v>
      </c>
      <c r="AD20" t="s">
        <v>31</v>
      </c>
      <c r="AE20" t="s">
        <v>31</v>
      </c>
      <c r="AF20" t="s">
        <v>31</v>
      </c>
      <c r="AG20" t="s">
        <v>31</v>
      </c>
      <c r="AH20" t="s">
        <v>31</v>
      </c>
      <c r="AI20">
        <f t="shared" si="0"/>
        <v>28</v>
      </c>
      <c r="AL20" t="s">
        <v>69</v>
      </c>
      <c r="AM20" s="3" t="s">
        <v>70</v>
      </c>
      <c r="AN20" s="3" t="s">
        <v>241</v>
      </c>
      <c r="AO20" t="s">
        <v>199</v>
      </c>
      <c r="AQ20" t="s">
        <v>192</v>
      </c>
      <c r="AR20" t="s">
        <v>191</v>
      </c>
      <c r="AS20" t="s">
        <v>198</v>
      </c>
    </row>
    <row r="21" spans="1:45" x14ac:dyDescent="0.4">
      <c r="A21" t="s">
        <v>284</v>
      </c>
      <c r="B21" t="s">
        <v>18</v>
      </c>
      <c r="C21" t="s">
        <v>128</v>
      </c>
      <c r="D21" t="s">
        <v>31</v>
      </c>
      <c r="F21" t="s">
        <v>31</v>
      </c>
      <c r="G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  <c r="AB21" t="s">
        <v>31</v>
      </c>
      <c r="AC21" t="s">
        <v>31</v>
      </c>
      <c r="AD21" t="s">
        <v>31</v>
      </c>
      <c r="AE21" t="s">
        <v>31</v>
      </c>
      <c r="AF21" t="s">
        <v>31</v>
      </c>
      <c r="AG21" t="s">
        <v>31</v>
      </c>
      <c r="AH21" t="s">
        <v>31</v>
      </c>
      <c r="AI21">
        <f t="shared" si="0"/>
        <v>28</v>
      </c>
      <c r="AL21" t="s">
        <v>71</v>
      </c>
      <c r="AM21" s="3" t="s">
        <v>72</v>
      </c>
      <c r="AN21" s="3" t="s">
        <v>242</v>
      </c>
      <c r="AO21" t="s">
        <v>201</v>
      </c>
      <c r="AQ21" t="s">
        <v>193</v>
      </c>
      <c r="AR21" t="s">
        <v>190</v>
      </c>
      <c r="AS21" t="s">
        <v>200</v>
      </c>
    </row>
    <row r="22" spans="1:45" x14ac:dyDescent="0.4">
      <c r="A22" t="s">
        <v>288</v>
      </c>
      <c r="B22" t="s">
        <v>19</v>
      </c>
      <c r="C22" t="s">
        <v>131</v>
      </c>
      <c r="D22" t="s">
        <v>31</v>
      </c>
      <c r="F22" t="s">
        <v>31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  <c r="Z22" t="s">
        <v>31</v>
      </c>
      <c r="AA22" t="s">
        <v>31</v>
      </c>
      <c r="AB22" t="s">
        <v>31</v>
      </c>
      <c r="AC22" t="s">
        <v>31</v>
      </c>
      <c r="AD22" t="s">
        <v>31</v>
      </c>
      <c r="AE22" t="s">
        <v>31</v>
      </c>
      <c r="AF22" t="s">
        <v>31</v>
      </c>
      <c r="AG22" t="s">
        <v>31</v>
      </c>
      <c r="AH22" t="s">
        <v>31</v>
      </c>
      <c r="AI22">
        <f t="shared" si="0"/>
        <v>28</v>
      </c>
      <c r="AL22" t="s">
        <v>73</v>
      </c>
      <c r="AM22" s="3" t="s">
        <v>74</v>
      </c>
      <c r="AN22" s="3" t="s">
        <v>243</v>
      </c>
      <c r="AO22" t="s">
        <v>212</v>
      </c>
      <c r="AQ22" t="s">
        <v>194</v>
      </c>
      <c r="AR22" t="s">
        <v>211</v>
      </c>
      <c r="AS22" t="s">
        <v>210</v>
      </c>
    </row>
    <row r="23" spans="1:45" x14ac:dyDescent="0.4">
      <c r="A23" t="s">
        <v>285</v>
      </c>
      <c r="B23" t="s">
        <v>20</v>
      </c>
      <c r="C23" t="s">
        <v>132</v>
      </c>
      <c r="D23" t="s">
        <v>31</v>
      </c>
      <c r="G23" t="s">
        <v>31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  <c r="AB23" t="s">
        <v>31</v>
      </c>
      <c r="AC23" t="s">
        <v>31</v>
      </c>
      <c r="AD23" t="s">
        <v>31</v>
      </c>
      <c r="AE23" t="s">
        <v>31</v>
      </c>
      <c r="AF23" t="s">
        <v>31</v>
      </c>
      <c r="AG23" t="s">
        <v>31</v>
      </c>
      <c r="AH23" t="s">
        <v>31</v>
      </c>
      <c r="AI23">
        <f t="shared" si="0"/>
        <v>28</v>
      </c>
      <c r="AL23" t="s">
        <v>75</v>
      </c>
      <c r="AM23" s="3" t="s">
        <v>76</v>
      </c>
      <c r="AN23" s="3" t="s">
        <v>244</v>
      </c>
      <c r="AO23" t="s">
        <v>215</v>
      </c>
      <c r="AQ23" t="s">
        <v>195</v>
      </c>
      <c r="AR23" t="s">
        <v>213</v>
      </c>
      <c r="AS23" t="s">
        <v>214</v>
      </c>
    </row>
    <row r="24" spans="1:45" x14ac:dyDescent="0.4">
      <c r="A24" t="s">
        <v>130</v>
      </c>
      <c r="B24" t="s">
        <v>21</v>
      </c>
      <c r="C24" t="s">
        <v>129</v>
      </c>
      <c r="E24" t="s">
        <v>31</v>
      </c>
      <c r="F24" t="s">
        <v>31</v>
      </c>
      <c r="G24" t="s">
        <v>31</v>
      </c>
      <c r="I24" t="s">
        <v>31</v>
      </c>
      <c r="J24" t="s">
        <v>31</v>
      </c>
      <c r="K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  <c r="AB24" t="s">
        <v>31</v>
      </c>
      <c r="AC24" t="s">
        <v>31</v>
      </c>
      <c r="AD24" t="s">
        <v>31</v>
      </c>
      <c r="AE24" t="s">
        <v>31</v>
      </c>
      <c r="AF24" t="s">
        <v>31</v>
      </c>
      <c r="AG24" t="s">
        <v>31</v>
      </c>
      <c r="AH24" t="s">
        <v>31</v>
      </c>
      <c r="AI24">
        <f t="shared" si="0"/>
        <v>28</v>
      </c>
      <c r="AL24" t="s">
        <v>77</v>
      </c>
      <c r="AM24" s="3" t="s">
        <v>78</v>
      </c>
      <c r="AN24" s="3" t="s">
        <v>245</v>
      </c>
      <c r="AO24" t="s">
        <v>218</v>
      </c>
      <c r="AQ24" t="s">
        <v>196</v>
      </c>
      <c r="AR24" t="s">
        <v>216</v>
      </c>
      <c r="AS24" t="s">
        <v>217</v>
      </c>
    </row>
    <row r="25" spans="1:45" x14ac:dyDescent="0.4">
      <c r="A25" t="s">
        <v>290</v>
      </c>
      <c r="B25" t="s">
        <v>22</v>
      </c>
      <c r="C25" t="s">
        <v>133</v>
      </c>
      <c r="E25" t="s">
        <v>31</v>
      </c>
      <c r="F25" t="s">
        <v>31</v>
      </c>
      <c r="H25" t="s">
        <v>31</v>
      </c>
      <c r="I25" t="s">
        <v>31</v>
      </c>
      <c r="J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t="s">
        <v>31</v>
      </c>
      <c r="AC25" t="s">
        <v>31</v>
      </c>
      <c r="AD25" t="s">
        <v>31</v>
      </c>
      <c r="AE25" t="s">
        <v>31</v>
      </c>
      <c r="AF25" t="s">
        <v>31</v>
      </c>
      <c r="AG25" t="s">
        <v>31</v>
      </c>
      <c r="AH25" t="s">
        <v>31</v>
      </c>
      <c r="AI25">
        <f t="shared" si="0"/>
        <v>28</v>
      </c>
      <c r="AL25" t="s">
        <v>79</v>
      </c>
      <c r="AM25" s="3" t="s">
        <v>80</v>
      </c>
      <c r="AN25" s="3" t="s">
        <v>246</v>
      </c>
      <c r="AO25" t="s">
        <v>221</v>
      </c>
      <c r="AQ25" t="s">
        <v>197</v>
      </c>
      <c r="AR25" t="s">
        <v>219</v>
      </c>
      <c r="AS25" t="s">
        <v>220</v>
      </c>
    </row>
    <row r="26" spans="1:45" x14ac:dyDescent="0.4">
      <c r="A26" t="s">
        <v>286</v>
      </c>
      <c r="B26" t="s">
        <v>23</v>
      </c>
      <c r="C26" t="s">
        <v>134</v>
      </c>
      <c r="E26" t="s">
        <v>31</v>
      </c>
      <c r="G26" t="s">
        <v>31</v>
      </c>
      <c r="H26" t="s">
        <v>31</v>
      </c>
      <c r="I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 t="s">
        <v>31</v>
      </c>
      <c r="Z26" t="s">
        <v>31</v>
      </c>
      <c r="AA26" t="s">
        <v>31</v>
      </c>
      <c r="AB26" t="s">
        <v>31</v>
      </c>
      <c r="AC26" t="s">
        <v>31</v>
      </c>
      <c r="AD26" t="s">
        <v>31</v>
      </c>
      <c r="AE26" t="s">
        <v>31</v>
      </c>
      <c r="AF26" t="s">
        <v>31</v>
      </c>
      <c r="AG26" t="s">
        <v>31</v>
      </c>
      <c r="AH26" t="s">
        <v>31</v>
      </c>
      <c r="AI26">
        <f t="shared" si="0"/>
        <v>28</v>
      </c>
      <c r="AL26" t="s">
        <v>81</v>
      </c>
      <c r="AM26" s="3" t="s">
        <v>82</v>
      </c>
      <c r="AN26" s="3" t="s">
        <v>247</v>
      </c>
      <c r="AO26" t="s">
        <v>224</v>
      </c>
      <c r="AQ26" t="s">
        <v>202</v>
      </c>
      <c r="AR26" t="s">
        <v>222</v>
      </c>
      <c r="AS26" t="s">
        <v>223</v>
      </c>
    </row>
    <row r="27" spans="1:45" x14ac:dyDescent="0.4">
      <c r="A27" t="s">
        <v>292</v>
      </c>
      <c r="B27" t="s">
        <v>24</v>
      </c>
      <c r="C27" t="s">
        <v>135</v>
      </c>
      <c r="F27" t="s">
        <v>31</v>
      </c>
      <c r="G27" t="s">
        <v>31</v>
      </c>
      <c r="H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  <c r="AB27" t="s">
        <v>31</v>
      </c>
      <c r="AC27" t="s">
        <v>31</v>
      </c>
      <c r="AD27" t="s">
        <v>31</v>
      </c>
      <c r="AE27" t="s">
        <v>31</v>
      </c>
      <c r="AF27" t="s">
        <v>31</v>
      </c>
      <c r="AG27" t="s">
        <v>31</v>
      </c>
      <c r="AH27" t="s">
        <v>31</v>
      </c>
      <c r="AI27">
        <f t="shared" si="0"/>
        <v>28</v>
      </c>
      <c r="AL27" t="s">
        <v>83</v>
      </c>
      <c r="AM27" s="2" t="s">
        <v>84</v>
      </c>
      <c r="AN27" s="3" t="s">
        <v>248</v>
      </c>
      <c r="AO27" t="s">
        <v>227</v>
      </c>
      <c r="AQ27" t="s">
        <v>203</v>
      </c>
      <c r="AR27" t="s">
        <v>225</v>
      </c>
      <c r="AS27" t="s">
        <v>226</v>
      </c>
    </row>
    <row r="28" spans="1:45" x14ac:dyDescent="0.4">
      <c r="A28" t="s">
        <v>296</v>
      </c>
      <c r="B28" t="s">
        <v>25</v>
      </c>
      <c r="C28" t="s">
        <v>136</v>
      </c>
      <c r="D28" t="s">
        <v>31</v>
      </c>
      <c r="E28" t="s">
        <v>31</v>
      </c>
      <c r="F28" t="s">
        <v>31</v>
      </c>
      <c r="G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 t="s">
        <v>31</v>
      </c>
      <c r="Z28" t="s">
        <v>31</v>
      </c>
      <c r="AA28" t="s">
        <v>31</v>
      </c>
      <c r="AB28" t="s">
        <v>31</v>
      </c>
      <c r="AC28" t="s">
        <v>31</v>
      </c>
      <c r="AD28" t="s">
        <v>31</v>
      </c>
      <c r="AE28" t="s">
        <v>31</v>
      </c>
      <c r="AF28" t="s">
        <v>31</v>
      </c>
      <c r="AG28" t="s">
        <v>31</v>
      </c>
      <c r="AH28" t="s">
        <v>31</v>
      </c>
      <c r="AI28">
        <f t="shared" si="0"/>
        <v>30</v>
      </c>
      <c r="AL28" t="s">
        <v>85</v>
      </c>
      <c r="AM28" s="3" t="s">
        <v>86</v>
      </c>
      <c r="AN28" s="3" t="s">
        <v>254</v>
      </c>
      <c r="AO28" t="s">
        <v>270</v>
      </c>
      <c r="AQ28" t="s">
        <v>204</v>
      </c>
      <c r="AR28" t="s">
        <v>249</v>
      </c>
      <c r="AS28" t="s">
        <v>253</v>
      </c>
    </row>
    <row r="29" spans="1:45" x14ac:dyDescent="0.4">
      <c r="A29" t="s">
        <v>297</v>
      </c>
      <c r="B29" t="s">
        <v>26</v>
      </c>
      <c r="C29" t="s">
        <v>137</v>
      </c>
      <c r="D29" t="s">
        <v>31</v>
      </c>
      <c r="E29" t="s">
        <v>31</v>
      </c>
      <c r="F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  <c r="AB29" t="s">
        <v>31</v>
      </c>
      <c r="AC29" t="s">
        <v>31</v>
      </c>
      <c r="AD29" t="s">
        <v>31</v>
      </c>
      <c r="AE29" t="s">
        <v>31</v>
      </c>
      <c r="AF29" t="s">
        <v>31</v>
      </c>
      <c r="AG29" t="s">
        <v>31</v>
      </c>
      <c r="AH29" t="s">
        <v>31</v>
      </c>
      <c r="AI29">
        <f t="shared" si="0"/>
        <v>30</v>
      </c>
      <c r="AL29" t="s">
        <v>87</v>
      </c>
      <c r="AM29" s="3" t="s">
        <v>88</v>
      </c>
      <c r="AN29" s="3" t="s">
        <v>257</v>
      </c>
      <c r="AO29" t="s">
        <v>269</v>
      </c>
      <c r="AQ29" t="s">
        <v>205</v>
      </c>
      <c r="AR29" t="s">
        <v>255</v>
      </c>
      <c r="AS29" t="s">
        <v>256</v>
      </c>
    </row>
    <row r="30" spans="1:45" x14ac:dyDescent="0.4">
      <c r="A30" t="s">
        <v>291</v>
      </c>
      <c r="B30" t="s">
        <v>27</v>
      </c>
      <c r="C30" t="s">
        <v>138</v>
      </c>
      <c r="D30" t="s">
        <v>31</v>
      </c>
      <c r="E30" t="s">
        <v>31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  <c r="AB30" t="s">
        <v>31</v>
      </c>
      <c r="AC30" t="s">
        <v>31</v>
      </c>
      <c r="AD30" t="s">
        <v>31</v>
      </c>
      <c r="AE30" t="s">
        <v>31</v>
      </c>
      <c r="AF30" t="s">
        <v>31</v>
      </c>
      <c r="AG30" t="s">
        <v>31</v>
      </c>
      <c r="AH30" t="s">
        <v>31</v>
      </c>
      <c r="AI30">
        <f t="shared" si="0"/>
        <v>30</v>
      </c>
      <c r="AL30" t="s">
        <v>89</v>
      </c>
      <c r="AM30" s="3" t="s">
        <v>90</v>
      </c>
      <c r="AN30" s="3" t="s">
        <v>260</v>
      </c>
      <c r="AO30" s="3" t="s">
        <v>271</v>
      </c>
      <c r="AQ30" t="s">
        <v>206</v>
      </c>
      <c r="AR30" t="s">
        <v>258</v>
      </c>
      <c r="AS30" t="s">
        <v>259</v>
      </c>
    </row>
    <row r="31" spans="1:45" x14ac:dyDescent="0.4">
      <c r="A31" t="s">
        <v>295</v>
      </c>
      <c r="B31" t="s">
        <v>28</v>
      </c>
      <c r="C31" t="s">
        <v>139</v>
      </c>
      <c r="D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  <c r="AB31" t="s">
        <v>31</v>
      </c>
      <c r="AC31" t="s">
        <v>31</v>
      </c>
      <c r="AD31" t="s">
        <v>31</v>
      </c>
      <c r="AE31" t="s">
        <v>31</v>
      </c>
      <c r="AF31" t="s">
        <v>31</v>
      </c>
      <c r="AG31" t="s">
        <v>31</v>
      </c>
      <c r="AH31" t="s">
        <v>31</v>
      </c>
      <c r="AI31">
        <f t="shared" si="0"/>
        <v>30</v>
      </c>
      <c r="AL31" t="s">
        <v>91</v>
      </c>
      <c r="AM31" s="3" t="s">
        <v>92</v>
      </c>
      <c r="AN31" s="3" t="s">
        <v>263</v>
      </c>
      <c r="AO31" s="3" t="s">
        <v>272</v>
      </c>
      <c r="AQ31" t="s">
        <v>207</v>
      </c>
      <c r="AR31" t="s">
        <v>261</v>
      </c>
      <c r="AS31" t="s">
        <v>262</v>
      </c>
    </row>
    <row r="32" spans="1:45" x14ac:dyDescent="0.4">
      <c r="A32" t="s">
        <v>294</v>
      </c>
      <c r="B32" t="s">
        <v>29</v>
      </c>
      <c r="C32" t="s">
        <v>140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  <c r="AB32" t="s">
        <v>31</v>
      </c>
      <c r="AC32" t="s">
        <v>31</v>
      </c>
      <c r="AD32" t="s">
        <v>31</v>
      </c>
      <c r="AE32" t="s">
        <v>31</v>
      </c>
      <c r="AF32" t="s">
        <v>31</v>
      </c>
      <c r="AG32" t="s">
        <v>31</v>
      </c>
      <c r="AH32" t="s">
        <v>31</v>
      </c>
      <c r="AI32">
        <f t="shared" si="0"/>
        <v>30</v>
      </c>
      <c r="AL32" t="s">
        <v>93</v>
      </c>
      <c r="AM32" s="3" t="s">
        <v>94</v>
      </c>
      <c r="AN32" s="3" t="s">
        <v>266</v>
      </c>
      <c r="AO32" s="3" t="s">
        <v>273</v>
      </c>
      <c r="AQ32" t="s">
        <v>208</v>
      </c>
      <c r="AR32" t="s">
        <v>265</v>
      </c>
      <c r="AS32" t="s">
        <v>264</v>
      </c>
    </row>
    <row r="33" spans="1:43" x14ac:dyDescent="0.4">
      <c r="A33" t="s">
        <v>300</v>
      </c>
      <c r="B33" t="s">
        <v>30</v>
      </c>
      <c r="C33" t="s">
        <v>141</v>
      </c>
      <c r="D33" t="s">
        <v>31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  <c r="AB33" t="s">
        <v>31</v>
      </c>
      <c r="AC33" t="s">
        <v>31</v>
      </c>
      <c r="AD33" t="s">
        <v>31</v>
      </c>
      <c r="AE33" t="s">
        <v>31</v>
      </c>
      <c r="AF33" t="s">
        <v>31</v>
      </c>
      <c r="AG33" t="s">
        <v>31</v>
      </c>
      <c r="AH33" t="s">
        <v>31</v>
      </c>
      <c r="AI33">
        <f t="shared" si="0"/>
        <v>31</v>
      </c>
      <c r="AL33" t="s">
        <v>95</v>
      </c>
      <c r="AM33" s="3" t="s">
        <v>96</v>
      </c>
      <c r="AN33" s="3" t="s">
        <v>267</v>
      </c>
      <c r="AO33" s="3" t="s">
        <v>274</v>
      </c>
      <c r="AQ33" t="s">
        <v>209</v>
      </c>
    </row>
  </sheetData>
  <mergeCells count="1">
    <mergeCell ref="D1:A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2179-28A3-440C-AB71-EC4BEBFFA681}">
  <dimension ref="A1:G94"/>
  <sheetViews>
    <sheetView tabSelected="1" workbookViewId="0"/>
  </sheetViews>
  <sheetFormatPr defaultRowHeight="14.6" x14ac:dyDescent="0.4"/>
  <cols>
    <col min="2" max="2" width="11.61328125" bestFit="1" customWidth="1"/>
    <col min="5" max="5" width="9.69140625" bestFit="1" customWidth="1"/>
    <col min="6" max="6" width="9.15234375" bestFit="1" customWidth="1"/>
  </cols>
  <sheetData>
    <row r="1" spans="1:7" x14ac:dyDescent="0.4">
      <c r="A1" t="s">
        <v>275</v>
      </c>
      <c r="B1" s="4" t="s">
        <v>302</v>
      </c>
      <c r="C1" t="s">
        <v>303</v>
      </c>
      <c r="D1" t="s">
        <v>277</v>
      </c>
      <c r="E1" t="s">
        <v>278</v>
      </c>
      <c r="F1" t="s">
        <v>279</v>
      </c>
      <c r="G1" t="s">
        <v>32</v>
      </c>
    </row>
    <row r="2" spans="1:7" x14ac:dyDescent="0.4">
      <c r="A2" t="s">
        <v>276</v>
      </c>
      <c r="B2" s="4">
        <v>0.30639</v>
      </c>
      <c r="C2">
        <v>0.32644000000000001</v>
      </c>
      <c r="D2" s="5">
        <v>399980</v>
      </c>
      <c r="E2">
        <v>1</v>
      </c>
      <c r="F2">
        <v>4</v>
      </c>
      <c r="G2" t="str">
        <f>VLOOKUP($F2,FiveParts!$A$3:$B$33,2,FALSE)</f>
        <v>A4</v>
      </c>
    </row>
    <row r="3" spans="1:7" x14ac:dyDescent="0.4">
      <c r="A3" t="s">
        <v>276</v>
      </c>
      <c r="B3" s="4">
        <v>0.17080999999999999</v>
      </c>
      <c r="C3">
        <v>0.1804</v>
      </c>
      <c r="D3" s="5">
        <v>486710</v>
      </c>
      <c r="E3">
        <v>1</v>
      </c>
      <c r="F3">
        <v>1</v>
      </c>
      <c r="G3" t="str">
        <f>VLOOKUP($F3,FiveParts!$A$3:$B$33,2,FALSE)</f>
        <v>A1</v>
      </c>
    </row>
    <row r="4" spans="1:7" x14ac:dyDescent="0.4">
      <c r="A4" t="s">
        <v>276</v>
      </c>
      <c r="B4" s="4">
        <v>0.11939</v>
      </c>
      <c r="C4">
        <v>0.12956999999999999</v>
      </c>
      <c r="D4" s="5">
        <v>516890</v>
      </c>
      <c r="E4">
        <v>1</v>
      </c>
      <c r="F4">
        <v>3</v>
      </c>
      <c r="G4" t="str">
        <f>VLOOKUP($F4,FiveParts!$A$3:$B$33,2,FALSE)</f>
        <v>A3</v>
      </c>
    </row>
    <row r="5" spans="1:7" x14ac:dyDescent="0.4">
      <c r="A5" t="s">
        <v>276</v>
      </c>
      <c r="B5" s="4">
        <v>0.10215</v>
      </c>
      <c r="C5">
        <v>0.11253000000000001</v>
      </c>
      <c r="D5" s="5">
        <v>527010</v>
      </c>
      <c r="E5">
        <v>1</v>
      </c>
      <c r="F5">
        <v>2</v>
      </c>
      <c r="G5" t="str">
        <f>VLOOKUP($F5,FiveParts!$A$3:$B$33,2,FALSE)</f>
        <v>A2</v>
      </c>
    </row>
    <row r="6" spans="1:7" x14ac:dyDescent="0.4">
      <c r="A6" t="s">
        <v>276</v>
      </c>
      <c r="B6" s="4">
        <v>4.0396000000000001E-2</v>
      </c>
      <c r="C6">
        <v>4.8716000000000002E-2</v>
      </c>
      <c r="D6" s="5">
        <v>564900</v>
      </c>
      <c r="E6">
        <v>1</v>
      </c>
      <c r="F6">
        <v>5</v>
      </c>
      <c r="G6" t="str">
        <f>VLOOKUP($F6,FiveParts!$A$3:$B$33,2,FALSE)</f>
        <v>A5</v>
      </c>
    </row>
    <row r="7" spans="1:7" x14ac:dyDescent="0.4">
      <c r="A7" t="s">
        <v>276</v>
      </c>
      <c r="B7" s="4">
        <v>0.40749999999999997</v>
      </c>
      <c r="C7">
        <v>0.43147999999999997</v>
      </c>
      <c r="D7" s="5">
        <v>337610</v>
      </c>
      <c r="E7">
        <v>2</v>
      </c>
      <c r="F7" t="s">
        <v>121</v>
      </c>
      <c r="G7" t="str">
        <f>VLOOKUP($F7,FiveParts!$A$3:$B$33,2,FALSE)</f>
        <v>A13</v>
      </c>
    </row>
    <row r="8" spans="1:7" x14ac:dyDescent="0.4">
      <c r="A8" t="s">
        <v>276</v>
      </c>
      <c r="B8" s="4">
        <v>0.40461000000000003</v>
      </c>
      <c r="C8">
        <v>0.42870000000000003</v>
      </c>
      <c r="D8" s="5">
        <v>339260</v>
      </c>
      <c r="E8">
        <v>2</v>
      </c>
      <c r="F8" t="s">
        <v>280</v>
      </c>
      <c r="G8" t="str">
        <f>VLOOKUP($F8,FiveParts!$A$3:$B$33,2,FALSE)</f>
        <v>A8</v>
      </c>
    </row>
    <row r="9" spans="1:7" x14ac:dyDescent="0.4">
      <c r="A9" t="s">
        <v>276</v>
      </c>
      <c r="B9" s="4">
        <v>0.39854000000000001</v>
      </c>
      <c r="C9">
        <v>0.42287000000000002</v>
      </c>
      <c r="D9" s="5">
        <v>342720</v>
      </c>
      <c r="E9">
        <v>2</v>
      </c>
      <c r="F9" t="s">
        <v>117</v>
      </c>
      <c r="G9" t="str">
        <f>VLOOKUP($F9,FiveParts!$A$3:$B$33,2,FALSE)</f>
        <v>A11</v>
      </c>
    </row>
    <row r="10" spans="1:7" x14ac:dyDescent="0.4">
      <c r="A10" t="s">
        <v>276</v>
      </c>
      <c r="B10" s="4">
        <v>0.34249000000000002</v>
      </c>
      <c r="C10">
        <v>0.36720000000000003</v>
      </c>
      <c r="D10" s="5">
        <v>375780</v>
      </c>
      <c r="E10">
        <v>2</v>
      </c>
      <c r="F10" t="s">
        <v>281</v>
      </c>
      <c r="G10" t="str">
        <f>VLOOKUP($F10,FiveParts!$A$3:$B$33,2,FALSE)</f>
        <v>A15</v>
      </c>
    </row>
    <row r="11" spans="1:7" x14ac:dyDescent="0.4">
      <c r="A11" t="s">
        <v>276</v>
      </c>
      <c r="B11" s="4">
        <v>0.30760999999999999</v>
      </c>
      <c r="C11">
        <v>0.32362000000000002</v>
      </c>
      <c r="D11" s="5">
        <v>401660</v>
      </c>
      <c r="E11">
        <v>2</v>
      </c>
      <c r="F11" t="s">
        <v>111</v>
      </c>
      <c r="G11" t="str">
        <f>VLOOKUP($F11,FiveParts!$A$3:$B$33,2,FALSE)</f>
        <v>A7</v>
      </c>
    </row>
    <row r="12" spans="1:7" x14ac:dyDescent="0.4">
      <c r="A12" t="s">
        <v>276</v>
      </c>
      <c r="B12" s="4">
        <v>0.27195000000000003</v>
      </c>
      <c r="C12">
        <v>0.28878999999999999</v>
      </c>
      <c r="D12" s="5">
        <v>422340</v>
      </c>
      <c r="E12">
        <v>2</v>
      </c>
      <c r="F12" t="s">
        <v>109</v>
      </c>
      <c r="G12" t="str">
        <f>VLOOKUP($F12,FiveParts!$A$3:$B$33,2,FALSE)</f>
        <v>A6</v>
      </c>
    </row>
    <row r="13" spans="1:7" x14ac:dyDescent="0.4">
      <c r="A13" t="s">
        <v>276</v>
      </c>
      <c r="B13" s="4">
        <v>0.23213</v>
      </c>
      <c r="C13">
        <v>0.24987999999999999</v>
      </c>
      <c r="D13" s="5">
        <v>445440</v>
      </c>
      <c r="E13">
        <v>2</v>
      </c>
      <c r="F13" t="s">
        <v>282</v>
      </c>
      <c r="G13" t="str">
        <f>VLOOKUP($F13,FiveParts!$A$3:$B$33,2,FALSE)</f>
        <v>A10</v>
      </c>
    </row>
    <row r="14" spans="1:7" x14ac:dyDescent="0.4">
      <c r="A14" t="s">
        <v>276</v>
      </c>
      <c r="B14" s="4">
        <v>0.20580000000000001</v>
      </c>
      <c r="C14">
        <v>0.22187000000000001</v>
      </c>
      <c r="D14" s="5">
        <v>462080</v>
      </c>
      <c r="E14">
        <v>2</v>
      </c>
      <c r="F14" t="s">
        <v>115</v>
      </c>
      <c r="G14" t="str">
        <f>VLOOKUP($F14,FiveParts!$A$3:$B$33,2,FALSE)</f>
        <v>A9</v>
      </c>
    </row>
    <row r="15" spans="1:7" x14ac:dyDescent="0.4">
      <c r="A15" t="s">
        <v>276</v>
      </c>
      <c r="B15" s="4">
        <v>0.14326</v>
      </c>
      <c r="C15">
        <v>0.16059999999999999</v>
      </c>
      <c r="D15" s="5">
        <v>498470</v>
      </c>
      <c r="E15">
        <v>2</v>
      </c>
      <c r="F15" t="s">
        <v>283</v>
      </c>
      <c r="G15" t="str">
        <f>VLOOKUP($F15,FiveParts!$A$3:$B$33,2,FALSE)</f>
        <v>A14</v>
      </c>
    </row>
    <row r="16" spans="1:7" x14ac:dyDescent="0.4">
      <c r="A16" t="s">
        <v>276</v>
      </c>
      <c r="B16" s="4">
        <v>0.14074999999999999</v>
      </c>
      <c r="C16">
        <v>0.15812999999999999</v>
      </c>
      <c r="D16" s="5">
        <v>499930</v>
      </c>
      <c r="E16">
        <v>2</v>
      </c>
      <c r="F16" t="s">
        <v>119</v>
      </c>
      <c r="G16" t="str">
        <f>VLOOKUP($F16,FiveParts!$A$3:$B$33,2,FALSE)</f>
        <v>A12</v>
      </c>
    </row>
    <row r="17" spans="1:7" x14ac:dyDescent="0.4">
      <c r="A17" t="s">
        <v>276</v>
      </c>
      <c r="B17" s="4">
        <v>0.45413999999999999</v>
      </c>
      <c r="C17">
        <v>0.48254000000000002</v>
      </c>
      <c r="D17" s="5">
        <v>307290</v>
      </c>
      <c r="E17">
        <v>3</v>
      </c>
      <c r="F17" s="6" t="s">
        <v>130</v>
      </c>
      <c r="G17" t="str">
        <f>VLOOKUP($F17,FiveParts!$A$3:$B$33,2,FALSE)</f>
        <v>A22</v>
      </c>
    </row>
    <row r="18" spans="1:7" x14ac:dyDescent="0.4">
      <c r="A18" t="s">
        <v>276</v>
      </c>
      <c r="B18" s="4">
        <v>0.44980999999999999</v>
      </c>
      <c r="C18">
        <v>0.47843000000000002</v>
      </c>
      <c r="D18" s="5">
        <v>309720</v>
      </c>
      <c r="E18">
        <v>3</v>
      </c>
      <c r="F18" s="6" t="s">
        <v>284</v>
      </c>
      <c r="G18" t="str">
        <f>VLOOKUP($F18,FiveParts!$A$3:$B$33,2,FALSE)</f>
        <v>A19</v>
      </c>
    </row>
    <row r="19" spans="1:7" x14ac:dyDescent="0.4">
      <c r="A19" t="s">
        <v>276</v>
      </c>
      <c r="B19" s="4">
        <v>0.43508999999999998</v>
      </c>
      <c r="C19">
        <v>0.46284999999999998</v>
      </c>
      <c r="D19" s="5">
        <v>318980</v>
      </c>
      <c r="E19">
        <v>3</v>
      </c>
      <c r="F19" t="s">
        <v>285</v>
      </c>
      <c r="G19" t="str">
        <f>VLOOKUP($F19,FiveParts!$A$3:$B$33,2,FALSE)</f>
        <v>A21</v>
      </c>
    </row>
    <row r="20" spans="1:7" x14ac:dyDescent="0.4">
      <c r="A20" t="s">
        <v>276</v>
      </c>
      <c r="B20" s="4">
        <v>0.4284</v>
      </c>
      <c r="C20">
        <v>0.45649000000000001</v>
      </c>
      <c r="D20" s="5">
        <v>322760</v>
      </c>
      <c r="E20">
        <v>3</v>
      </c>
      <c r="F20" t="s">
        <v>286</v>
      </c>
      <c r="G20" t="str">
        <f>VLOOKUP($F20,FiveParts!$A$3:$B$33,2,FALSE)</f>
        <v>A24</v>
      </c>
    </row>
    <row r="21" spans="1:7" x14ac:dyDescent="0.4">
      <c r="A21" t="s">
        <v>276</v>
      </c>
      <c r="B21" s="4">
        <v>0.42756</v>
      </c>
      <c r="C21">
        <v>0.45734000000000002</v>
      </c>
      <c r="D21" s="5">
        <v>322250</v>
      </c>
      <c r="E21">
        <v>3</v>
      </c>
      <c r="F21" t="s">
        <v>287</v>
      </c>
      <c r="G21" t="str">
        <f>VLOOKUP($F21,FiveParts!$A$3:$B$33,2,FALSE)</f>
        <v>A17</v>
      </c>
    </row>
    <row r="22" spans="1:7" x14ac:dyDescent="0.4">
      <c r="A22" t="s">
        <v>276</v>
      </c>
      <c r="B22" s="4">
        <v>0.42237999999999998</v>
      </c>
      <c r="C22">
        <v>0.45075999999999999</v>
      </c>
      <c r="D22" s="5">
        <v>326160</v>
      </c>
      <c r="E22">
        <v>3</v>
      </c>
      <c r="F22" s="6" t="s">
        <v>292</v>
      </c>
      <c r="G22" t="str">
        <f>VLOOKUP($F22,FiveParts!$A$3:$B$33,2,FALSE)</f>
        <v>A25</v>
      </c>
    </row>
    <row r="23" spans="1:7" x14ac:dyDescent="0.4">
      <c r="A23" t="s">
        <v>276</v>
      </c>
      <c r="B23" s="4">
        <v>0.36814999999999998</v>
      </c>
      <c r="C23">
        <v>0.39006000000000002</v>
      </c>
      <c r="D23" s="5">
        <v>362200</v>
      </c>
      <c r="E23">
        <v>3</v>
      </c>
      <c r="F23" s="6" t="s">
        <v>293</v>
      </c>
      <c r="G23" t="str">
        <f>VLOOKUP($F23,FiveParts!$A$3:$B$33,2,FALSE)</f>
        <v>A16</v>
      </c>
    </row>
    <row r="24" spans="1:7" x14ac:dyDescent="0.4">
      <c r="A24" t="s">
        <v>276</v>
      </c>
      <c r="B24" s="4">
        <v>0.3261</v>
      </c>
      <c r="C24">
        <v>0.34753000000000001</v>
      </c>
      <c r="D24" s="5">
        <v>387460</v>
      </c>
      <c r="E24">
        <v>3</v>
      </c>
      <c r="F24" t="s">
        <v>288</v>
      </c>
      <c r="G24" t="str">
        <f>VLOOKUP($F24,FiveParts!$A$3:$B$33,2,FALSE)</f>
        <v>A20</v>
      </c>
    </row>
    <row r="25" spans="1:7" x14ac:dyDescent="0.4">
      <c r="A25" t="s">
        <v>276</v>
      </c>
      <c r="B25" s="4">
        <v>0.30430000000000001</v>
      </c>
      <c r="C25">
        <v>0.32641999999999999</v>
      </c>
      <c r="D25" s="5">
        <v>399990</v>
      </c>
      <c r="E25">
        <v>3</v>
      </c>
      <c r="F25" t="s">
        <v>289</v>
      </c>
      <c r="G25" t="str">
        <f>VLOOKUP($F25,FiveParts!$A$3:$B$33,2,FALSE)</f>
        <v>A18</v>
      </c>
    </row>
    <row r="26" spans="1:7" x14ac:dyDescent="0.4">
      <c r="A26" t="s">
        <v>276</v>
      </c>
      <c r="B26" s="4">
        <v>0.25508999999999998</v>
      </c>
      <c r="C26">
        <v>0.27877000000000002</v>
      </c>
      <c r="D26" s="5">
        <v>428290</v>
      </c>
      <c r="E26">
        <v>3</v>
      </c>
      <c r="F26" t="s">
        <v>290</v>
      </c>
      <c r="G26" t="str">
        <f>VLOOKUP($F26,FiveParts!$A$3:$B$33,2,FALSE)</f>
        <v>A23</v>
      </c>
    </row>
    <row r="27" spans="1:7" x14ac:dyDescent="0.4">
      <c r="A27" t="s">
        <v>276</v>
      </c>
      <c r="B27" s="4">
        <v>0.46927000000000002</v>
      </c>
      <c r="C27">
        <v>0.50148999999999999</v>
      </c>
      <c r="D27" s="5">
        <v>296030</v>
      </c>
      <c r="E27">
        <v>4</v>
      </c>
      <c r="F27" s="6" t="s">
        <v>294</v>
      </c>
      <c r="G27" t="str">
        <f>VLOOKUP($F27,FiveParts!$A$3:$B$33,2,FALSE)</f>
        <v>A30</v>
      </c>
    </row>
    <row r="28" spans="1:7" x14ac:dyDescent="0.4">
      <c r="A28" t="s">
        <v>276</v>
      </c>
      <c r="B28" s="4">
        <v>0.46822999999999998</v>
      </c>
      <c r="C28">
        <v>0.50051000000000001</v>
      </c>
      <c r="D28" s="5">
        <v>296610</v>
      </c>
      <c r="E28">
        <v>4</v>
      </c>
      <c r="F28" s="6" t="s">
        <v>295</v>
      </c>
      <c r="G28" t="str">
        <f>VLOOKUP($F28,FiveParts!$A$3:$B$33,2,FALSE)</f>
        <v>A29</v>
      </c>
    </row>
    <row r="29" spans="1:7" x14ac:dyDescent="0.4">
      <c r="A29" t="s">
        <v>276</v>
      </c>
      <c r="B29" s="4">
        <v>0.46660000000000001</v>
      </c>
      <c r="C29">
        <v>0.49897999999999998</v>
      </c>
      <c r="D29" s="5">
        <v>297520</v>
      </c>
      <c r="E29">
        <v>4</v>
      </c>
      <c r="F29" s="6" t="s">
        <v>296</v>
      </c>
      <c r="G29" t="str">
        <f>VLOOKUP($F29,FiveParts!$A$3:$B$33,2,FALSE)</f>
        <v>A26</v>
      </c>
    </row>
    <row r="30" spans="1:7" x14ac:dyDescent="0.4">
      <c r="A30" t="s">
        <v>276</v>
      </c>
      <c r="B30" s="4">
        <v>0.45754</v>
      </c>
      <c r="C30">
        <v>0.49046000000000001</v>
      </c>
      <c r="D30" s="5">
        <v>302580</v>
      </c>
      <c r="E30">
        <v>4</v>
      </c>
      <c r="F30" t="s">
        <v>291</v>
      </c>
      <c r="G30" t="str">
        <f>VLOOKUP($F30,FiveParts!$A$3:$B$33,2,FALSE)</f>
        <v>A28</v>
      </c>
    </row>
    <row r="31" spans="1:7" x14ac:dyDescent="0.4">
      <c r="A31" t="s">
        <v>276</v>
      </c>
      <c r="B31" s="4">
        <v>0.38618000000000002</v>
      </c>
      <c r="C31">
        <v>0.41278999999999999</v>
      </c>
      <c r="D31" s="5">
        <v>348700</v>
      </c>
      <c r="E31">
        <v>4</v>
      </c>
      <c r="F31" t="s">
        <v>297</v>
      </c>
      <c r="G31" t="str">
        <f>VLOOKUP($F31,FiveParts!$A$3:$B$33,2,FALSE)</f>
        <v>A27</v>
      </c>
    </row>
    <row r="32" spans="1:7" x14ac:dyDescent="0.4">
      <c r="A32" t="s">
        <v>276</v>
      </c>
      <c r="B32" s="4">
        <v>0.48231000000000002</v>
      </c>
      <c r="C32">
        <v>0.51822000000000001</v>
      </c>
      <c r="D32" s="5">
        <v>286100</v>
      </c>
      <c r="E32">
        <v>5</v>
      </c>
      <c r="F32" t="s">
        <v>300</v>
      </c>
      <c r="G32" t="str">
        <f>VLOOKUP($F32,FiveParts!$A$3:$B$33,2,FALSE)</f>
        <v>A31</v>
      </c>
    </row>
    <row r="33" spans="1:7" x14ac:dyDescent="0.4">
      <c r="A33" t="s">
        <v>298</v>
      </c>
      <c r="B33" s="4">
        <v>0.23400000000000001</v>
      </c>
      <c r="C33">
        <v>0.25652999999999998</v>
      </c>
      <c r="D33" s="5">
        <v>514550</v>
      </c>
      <c r="E33">
        <v>1</v>
      </c>
      <c r="F33">
        <v>4</v>
      </c>
      <c r="G33" t="str">
        <f>VLOOKUP($F33,FiveParts!$A$3:$B$33,2,FALSE)</f>
        <v>A4</v>
      </c>
    </row>
    <row r="34" spans="1:7" x14ac:dyDescent="0.4">
      <c r="A34" t="s">
        <v>298</v>
      </c>
      <c r="B34" s="4">
        <v>0.13569999999999999</v>
      </c>
      <c r="C34">
        <v>0.14699999999999999</v>
      </c>
      <c r="D34" s="5">
        <v>590360</v>
      </c>
      <c r="E34">
        <v>1</v>
      </c>
      <c r="F34">
        <v>1</v>
      </c>
      <c r="G34" t="str">
        <f>VLOOKUP($F34,FiveParts!$A$3:$B$33,2,FALSE)</f>
        <v>A1</v>
      </c>
    </row>
    <row r="35" spans="1:7" x14ac:dyDescent="0.4">
      <c r="A35" t="s">
        <v>298</v>
      </c>
      <c r="B35" s="4">
        <v>8.7973999999999997E-2</v>
      </c>
      <c r="C35">
        <v>0.10586</v>
      </c>
      <c r="D35" s="5">
        <v>618840</v>
      </c>
      <c r="E35">
        <v>1</v>
      </c>
      <c r="F35">
        <v>3</v>
      </c>
      <c r="G35" t="str">
        <f>VLOOKUP($F35,FiveParts!$A$3:$B$33,2,FALSE)</f>
        <v>A3</v>
      </c>
    </row>
    <row r="36" spans="1:7" x14ac:dyDescent="0.4">
      <c r="A36" t="s">
        <v>298</v>
      </c>
      <c r="B36" s="4">
        <v>7.9055E-2</v>
      </c>
      <c r="C36">
        <v>9.1092999999999993E-2</v>
      </c>
      <c r="D36" s="5">
        <v>629050</v>
      </c>
      <c r="E36">
        <v>1</v>
      </c>
      <c r="F36">
        <v>2</v>
      </c>
      <c r="G36" t="str">
        <f>VLOOKUP($F36,FiveParts!$A$3:$B$33,2,FALSE)</f>
        <v>A2</v>
      </c>
    </row>
    <row r="37" spans="1:7" x14ac:dyDescent="0.4">
      <c r="A37" t="s">
        <v>298</v>
      </c>
      <c r="B37" s="4">
        <v>5.2548999999999998E-2</v>
      </c>
      <c r="C37">
        <v>6.8029999999999993E-2</v>
      </c>
      <c r="D37" s="5">
        <v>645010</v>
      </c>
      <c r="E37">
        <v>1</v>
      </c>
      <c r="F37">
        <v>5</v>
      </c>
      <c r="G37" t="str">
        <f>VLOOKUP($F37,FiveParts!$A$3:$B$33,2,FALSE)</f>
        <v>A5</v>
      </c>
    </row>
    <row r="38" spans="1:7" x14ac:dyDescent="0.4">
      <c r="A38" t="s">
        <v>298</v>
      </c>
      <c r="B38" s="4">
        <v>0.31900000000000001</v>
      </c>
      <c r="C38">
        <v>0.34793000000000002</v>
      </c>
      <c r="D38" s="5">
        <v>451300</v>
      </c>
      <c r="E38">
        <v>2</v>
      </c>
      <c r="F38" t="s">
        <v>280</v>
      </c>
      <c r="G38" t="str">
        <f>VLOOKUP($F38,FiveParts!$A$3:$B$33,2,FALSE)</f>
        <v>A8</v>
      </c>
    </row>
    <row r="39" spans="1:7" x14ac:dyDescent="0.4">
      <c r="A39" t="s">
        <v>298</v>
      </c>
      <c r="B39" s="4">
        <v>0.31498999999999999</v>
      </c>
      <c r="C39">
        <v>0.34856999999999999</v>
      </c>
      <c r="D39" s="5">
        <v>450860</v>
      </c>
      <c r="E39">
        <v>2</v>
      </c>
      <c r="F39" t="s">
        <v>121</v>
      </c>
      <c r="G39" t="str">
        <f>VLOOKUP($F39,FiveParts!$A$3:$B$33,2,FALSE)</f>
        <v>A13</v>
      </c>
    </row>
    <row r="40" spans="1:7" x14ac:dyDescent="0.4">
      <c r="A40" t="s">
        <v>298</v>
      </c>
      <c r="B40" s="4">
        <v>0.31474999999999997</v>
      </c>
      <c r="C40">
        <v>0.34386</v>
      </c>
      <c r="D40" s="5">
        <v>454120</v>
      </c>
      <c r="E40">
        <v>2</v>
      </c>
      <c r="F40" t="s">
        <v>117</v>
      </c>
      <c r="G40" t="str">
        <f>VLOOKUP($F40,FiveParts!$A$3:$B$33,2,FALSE)</f>
        <v>A11</v>
      </c>
    </row>
    <row r="41" spans="1:7" x14ac:dyDescent="0.4">
      <c r="A41" t="s">
        <v>298</v>
      </c>
      <c r="B41" s="4">
        <v>0.27483000000000002</v>
      </c>
      <c r="C41">
        <v>0.30801000000000001</v>
      </c>
      <c r="D41" s="5">
        <v>478930</v>
      </c>
      <c r="E41">
        <v>2</v>
      </c>
      <c r="F41" t="s">
        <v>281</v>
      </c>
      <c r="G41" t="str">
        <f>VLOOKUP($F41,FiveParts!$A$3:$B$33,2,FALSE)</f>
        <v>A15</v>
      </c>
    </row>
    <row r="42" spans="1:7" x14ac:dyDescent="0.4">
      <c r="A42" t="s">
        <v>298</v>
      </c>
      <c r="B42" s="4">
        <v>0.25220999999999999</v>
      </c>
      <c r="C42">
        <v>0.27665000000000001</v>
      </c>
      <c r="D42" s="5">
        <v>500630</v>
      </c>
      <c r="E42">
        <v>2</v>
      </c>
      <c r="F42" t="s">
        <v>111</v>
      </c>
      <c r="G42" t="str">
        <f>VLOOKUP($F42,FiveParts!$A$3:$B$33,2,FALSE)</f>
        <v>A7</v>
      </c>
    </row>
    <row r="43" spans="1:7" x14ac:dyDescent="0.4">
      <c r="A43" t="s">
        <v>298</v>
      </c>
      <c r="B43" s="4">
        <v>0.21243000000000001</v>
      </c>
      <c r="C43">
        <v>0.23302</v>
      </c>
      <c r="D43" s="5">
        <v>530820</v>
      </c>
      <c r="E43">
        <v>2</v>
      </c>
      <c r="F43" t="s">
        <v>109</v>
      </c>
      <c r="G43" t="str">
        <f>VLOOKUP($F43,FiveParts!$A$3:$B$33,2,FALSE)</f>
        <v>A6</v>
      </c>
    </row>
    <row r="44" spans="1:7" x14ac:dyDescent="0.4">
      <c r="A44" t="s">
        <v>298</v>
      </c>
      <c r="B44" s="4">
        <v>0.19656000000000001</v>
      </c>
      <c r="C44">
        <v>0.22281999999999999</v>
      </c>
      <c r="D44" s="5">
        <v>537880</v>
      </c>
      <c r="E44">
        <v>2</v>
      </c>
      <c r="F44" t="s">
        <v>282</v>
      </c>
      <c r="G44" t="str">
        <f>VLOOKUP($F44,FiveParts!$A$3:$B$33,2,FALSE)</f>
        <v>A10</v>
      </c>
    </row>
    <row r="45" spans="1:7" x14ac:dyDescent="0.4">
      <c r="A45" t="s">
        <v>298</v>
      </c>
      <c r="B45" s="4">
        <v>0.17805000000000001</v>
      </c>
      <c r="C45">
        <v>0.20222999999999999</v>
      </c>
      <c r="D45" s="5">
        <v>552140</v>
      </c>
      <c r="E45">
        <v>2</v>
      </c>
      <c r="F45" t="s">
        <v>115</v>
      </c>
      <c r="G45" t="str">
        <f>VLOOKUP($F45,FiveParts!$A$3:$B$33,2,FALSE)</f>
        <v>A9</v>
      </c>
    </row>
    <row r="46" spans="1:7" x14ac:dyDescent="0.4">
      <c r="A46" t="s">
        <v>298</v>
      </c>
      <c r="B46" s="4">
        <v>0.13106000000000001</v>
      </c>
      <c r="C46">
        <v>0.15662000000000001</v>
      </c>
      <c r="D46" s="5">
        <v>583700</v>
      </c>
      <c r="E46">
        <v>2</v>
      </c>
      <c r="F46" t="s">
        <v>119</v>
      </c>
      <c r="G46" t="str">
        <f>VLOOKUP($F46,FiveParts!$A$3:$B$33,2,FALSE)</f>
        <v>A12</v>
      </c>
    </row>
    <row r="47" spans="1:7" x14ac:dyDescent="0.4">
      <c r="A47" t="s">
        <v>298</v>
      </c>
      <c r="B47" s="4">
        <v>0.12386</v>
      </c>
      <c r="C47">
        <v>0.15536</v>
      </c>
      <c r="D47" s="5">
        <v>584570</v>
      </c>
      <c r="E47">
        <v>2</v>
      </c>
      <c r="F47" t="s">
        <v>283</v>
      </c>
      <c r="G47" t="str">
        <f>VLOOKUP($F47,FiveParts!$A$3:$B$33,2,FALSE)</f>
        <v>A14</v>
      </c>
    </row>
    <row r="48" spans="1:7" x14ac:dyDescent="0.4">
      <c r="A48" t="s">
        <v>298</v>
      </c>
      <c r="B48" s="4">
        <v>0.37109999999999999</v>
      </c>
      <c r="C48">
        <v>0.40604000000000001</v>
      </c>
      <c r="D48" s="5">
        <v>411080</v>
      </c>
      <c r="E48">
        <v>3</v>
      </c>
      <c r="F48" t="s">
        <v>287</v>
      </c>
      <c r="G48" t="str">
        <f>VLOOKUP($F48,FiveParts!$A$3:$B$33,2,FALSE)</f>
        <v>A17</v>
      </c>
    </row>
    <row r="49" spans="1:7" x14ac:dyDescent="0.4">
      <c r="A49" t="s">
        <v>298</v>
      </c>
      <c r="B49" s="4">
        <v>0.36665999999999999</v>
      </c>
      <c r="C49">
        <v>0.40598000000000001</v>
      </c>
      <c r="D49" s="5">
        <v>411120</v>
      </c>
      <c r="E49">
        <v>3</v>
      </c>
      <c r="F49" t="s">
        <v>284</v>
      </c>
      <c r="G49" t="str">
        <f>VLOOKUP($F49,FiveParts!$A$3:$B$33,2,FALSE)</f>
        <v>A19</v>
      </c>
    </row>
    <row r="50" spans="1:7" x14ac:dyDescent="0.4">
      <c r="A50" t="s">
        <v>298</v>
      </c>
      <c r="B50" s="4">
        <v>0.36458000000000002</v>
      </c>
      <c r="C50">
        <v>0.40403</v>
      </c>
      <c r="D50" s="5">
        <v>412470</v>
      </c>
      <c r="E50">
        <v>3</v>
      </c>
      <c r="F50" s="6" t="s">
        <v>130</v>
      </c>
      <c r="G50" t="str">
        <f>VLOOKUP($F50,FiveParts!$A$3:$B$33,2,FALSE)</f>
        <v>A22</v>
      </c>
    </row>
    <row r="51" spans="1:7" x14ac:dyDescent="0.4">
      <c r="A51" t="s">
        <v>298</v>
      </c>
      <c r="B51" s="4">
        <v>0.35809000000000002</v>
      </c>
      <c r="C51">
        <v>0.39584999999999998</v>
      </c>
      <c r="D51" s="5">
        <v>418130</v>
      </c>
      <c r="E51">
        <v>3</v>
      </c>
      <c r="F51" t="s">
        <v>285</v>
      </c>
      <c r="G51" t="str">
        <f>VLOOKUP($F51,FiveParts!$A$3:$B$33,2,FALSE)</f>
        <v>A21</v>
      </c>
    </row>
    <row r="52" spans="1:7" x14ac:dyDescent="0.4">
      <c r="A52" t="s">
        <v>298</v>
      </c>
      <c r="B52" s="4">
        <v>0.35470000000000002</v>
      </c>
      <c r="C52">
        <v>0.39266000000000001</v>
      </c>
      <c r="D52" s="5">
        <v>420340</v>
      </c>
      <c r="E52">
        <v>3</v>
      </c>
      <c r="F52" t="s">
        <v>286</v>
      </c>
      <c r="G52" t="str">
        <f>VLOOKUP($F52,FiveParts!$A$3:$B$33,2,FALSE)</f>
        <v>A24</v>
      </c>
    </row>
    <row r="53" spans="1:7" x14ac:dyDescent="0.4">
      <c r="A53" t="s">
        <v>298</v>
      </c>
      <c r="B53" s="4">
        <v>0.34793000000000002</v>
      </c>
      <c r="C53">
        <v>0.39055000000000001</v>
      </c>
      <c r="D53" s="5">
        <v>421800</v>
      </c>
      <c r="E53">
        <v>3</v>
      </c>
      <c r="F53" s="6" t="s">
        <v>292</v>
      </c>
      <c r="G53" t="str">
        <f>VLOOKUP($F53,FiveParts!$A$3:$B$33,2,FALSE)</f>
        <v>A25</v>
      </c>
    </row>
    <row r="54" spans="1:7" x14ac:dyDescent="0.4">
      <c r="A54" t="s">
        <v>298</v>
      </c>
      <c r="B54" s="4">
        <v>0.31086000000000003</v>
      </c>
      <c r="C54">
        <v>0.34239000000000003</v>
      </c>
      <c r="D54" s="5">
        <v>455130</v>
      </c>
      <c r="E54">
        <v>3</v>
      </c>
      <c r="F54" s="6" t="s">
        <v>293</v>
      </c>
      <c r="G54" t="str">
        <f>VLOOKUP($F54,FiveParts!$A$3:$B$33,2,FALSE)</f>
        <v>A16</v>
      </c>
    </row>
    <row r="55" spans="1:7" x14ac:dyDescent="0.4">
      <c r="A55" t="s">
        <v>298</v>
      </c>
      <c r="B55" s="4">
        <v>0.28460000000000002</v>
      </c>
      <c r="C55">
        <v>0.31967000000000001</v>
      </c>
      <c r="D55" s="5">
        <v>470860</v>
      </c>
      <c r="E55">
        <v>3</v>
      </c>
      <c r="F55" t="s">
        <v>288</v>
      </c>
      <c r="G55" t="str">
        <f>VLOOKUP($F55,FiveParts!$A$3:$B$33,2,FALSE)</f>
        <v>A20</v>
      </c>
    </row>
    <row r="56" spans="1:7" x14ac:dyDescent="0.4">
      <c r="A56" t="s">
        <v>298</v>
      </c>
      <c r="B56" s="4">
        <v>0.25341000000000002</v>
      </c>
      <c r="C56">
        <v>0.28512999999999999</v>
      </c>
      <c r="D56" s="5">
        <v>494760</v>
      </c>
      <c r="E56">
        <v>3</v>
      </c>
      <c r="F56" t="s">
        <v>289</v>
      </c>
      <c r="G56" t="str">
        <f>VLOOKUP($F56,FiveParts!$A$3:$B$33,2,FALSE)</f>
        <v>A18</v>
      </c>
    </row>
    <row r="57" spans="1:7" x14ac:dyDescent="0.4">
      <c r="A57" t="s">
        <v>298</v>
      </c>
      <c r="B57" s="4">
        <v>0.23497000000000001</v>
      </c>
      <c r="C57">
        <v>0.27246999999999999</v>
      </c>
      <c r="D57" s="5">
        <v>503520</v>
      </c>
      <c r="E57">
        <v>3</v>
      </c>
      <c r="F57" t="s">
        <v>290</v>
      </c>
      <c r="G57" t="str">
        <f>VLOOKUP($F57,FiveParts!$A$3:$B$33,2,FALSE)</f>
        <v>A23</v>
      </c>
    </row>
    <row r="58" spans="1:7" x14ac:dyDescent="0.4">
      <c r="A58" t="s">
        <v>298</v>
      </c>
      <c r="B58" s="4">
        <v>0.41204000000000002</v>
      </c>
      <c r="C58">
        <v>0.45430999999999999</v>
      </c>
      <c r="D58" s="5">
        <v>377670</v>
      </c>
      <c r="E58">
        <v>4</v>
      </c>
      <c r="F58" t="s">
        <v>291</v>
      </c>
      <c r="G58" t="str">
        <f>VLOOKUP($F58,FiveParts!$A$3:$B$33,2,FALSE)</f>
        <v>A28</v>
      </c>
    </row>
    <row r="59" spans="1:7" x14ac:dyDescent="0.4">
      <c r="A59" t="s">
        <v>298</v>
      </c>
      <c r="B59" s="4">
        <v>0.40494999999999998</v>
      </c>
      <c r="C59">
        <v>0.45162000000000002</v>
      </c>
      <c r="D59" s="5">
        <v>379540</v>
      </c>
      <c r="E59">
        <v>4</v>
      </c>
      <c r="F59" t="s">
        <v>295</v>
      </c>
      <c r="G59" t="str">
        <f>VLOOKUP($F59,FiveParts!$A$3:$B$33,2,FALSE)</f>
        <v>A29</v>
      </c>
    </row>
    <row r="60" spans="1:7" x14ac:dyDescent="0.4">
      <c r="A60" t="s">
        <v>298</v>
      </c>
      <c r="B60" s="4">
        <v>0.40195999999999998</v>
      </c>
      <c r="C60">
        <v>0.44690999999999997</v>
      </c>
      <c r="D60" s="5">
        <v>382790</v>
      </c>
      <c r="E60">
        <v>4</v>
      </c>
      <c r="F60" s="6" t="s">
        <v>296</v>
      </c>
      <c r="G60" t="str">
        <f>VLOOKUP($F60,FiveParts!$A$3:$B$33,2,FALSE)</f>
        <v>A26</v>
      </c>
    </row>
    <row r="61" spans="1:7" x14ac:dyDescent="0.4">
      <c r="A61" t="s">
        <v>298</v>
      </c>
      <c r="B61" s="4">
        <v>0.40057999999999999</v>
      </c>
      <c r="C61">
        <v>0.44758999999999999</v>
      </c>
      <c r="D61" s="5">
        <v>382320</v>
      </c>
      <c r="E61">
        <v>4</v>
      </c>
      <c r="F61" s="6" t="s">
        <v>294</v>
      </c>
      <c r="G61" t="str">
        <f>VLOOKUP($F61,FiveParts!$A$3:$B$33,2,FALSE)</f>
        <v>A30</v>
      </c>
    </row>
    <row r="62" spans="1:7" x14ac:dyDescent="0.4">
      <c r="A62" t="s">
        <v>298</v>
      </c>
      <c r="B62" s="4">
        <v>0.34722999999999998</v>
      </c>
      <c r="C62">
        <v>0.38775999999999999</v>
      </c>
      <c r="D62" s="5">
        <v>423730</v>
      </c>
      <c r="E62">
        <v>4</v>
      </c>
      <c r="F62" t="s">
        <v>297</v>
      </c>
      <c r="G62" t="str">
        <f>VLOOKUP($F62,FiveParts!$A$3:$B$33,2,FALSE)</f>
        <v>A27</v>
      </c>
    </row>
    <row r="63" spans="1:7" x14ac:dyDescent="0.4">
      <c r="A63" t="s">
        <v>298</v>
      </c>
      <c r="B63" s="4">
        <v>0.44369999999999998</v>
      </c>
      <c r="C63">
        <v>0.49459999999999998</v>
      </c>
      <c r="D63" s="5">
        <v>349790</v>
      </c>
      <c r="E63">
        <v>5</v>
      </c>
      <c r="F63" t="s">
        <v>300</v>
      </c>
      <c r="G63" t="str">
        <f>VLOOKUP($F63,FiveParts!$A$3:$B$33,2,FALSE)</f>
        <v>A31</v>
      </c>
    </row>
    <row r="64" spans="1:7" x14ac:dyDescent="0.4">
      <c r="A64" t="s">
        <v>299</v>
      </c>
      <c r="B64" s="4">
        <v>0.17604</v>
      </c>
      <c r="C64">
        <v>0.19489000000000001</v>
      </c>
      <c r="D64" s="5">
        <v>573420</v>
      </c>
      <c r="E64">
        <v>1</v>
      </c>
      <c r="F64">
        <v>4</v>
      </c>
      <c r="G64" t="str">
        <f>VLOOKUP($F64,FiveParts!$A$3:$B$33,2,FALSE)</f>
        <v>A4</v>
      </c>
    </row>
    <row r="65" spans="1:7" x14ac:dyDescent="0.4">
      <c r="A65" t="s">
        <v>299</v>
      </c>
      <c r="B65" s="4">
        <v>0.14596000000000001</v>
      </c>
      <c r="C65">
        <v>0.15712999999999999</v>
      </c>
      <c r="D65" s="5">
        <v>600320</v>
      </c>
      <c r="E65">
        <v>1</v>
      </c>
      <c r="F65">
        <v>1</v>
      </c>
      <c r="G65" t="str">
        <f>VLOOKUP($F65,FiveParts!$A$3:$B$33,2,FALSE)</f>
        <v>A1</v>
      </c>
    </row>
    <row r="66" spans="1:7" x14ac:dyDescent="0.4">
      <c r="A66" t="s">
        <v>299</v>
      </c>
      <c r="B66" s="4">
        <v>5.8410999999999998E-2</v>
      </c>
      <c r="C66">
        <v>7.0719000000000004E-2</v>
      </c>
      <c r="D66" s="5">
        <v>661860</v>
      </c>
      <c r="E66">
        <v>1</v>
      </c>
      <c r="F66">
        <v>2</v>
      </c>
      <c r="G66" t="str">
        <f>VLOOKUP($F66,FiveParts!$A$3:$B$33,2,FALSE)</f>
        <v>A2</v>
      </c>
    </row>
    <row r="67" spans="1:7" x14ac:dyDescent="0.4">
      <c r="A67" t="s">
        <v>299</v>
      </c>
      <c r="B67" s="4">
        <v>5.2606E-2</v>
      </c>
      <c r="C67">
        <v>6.4990999999999993E-2</v>
      </c>
      <c r="D67" s="5">
        <v>665940</v>
      </c>
      <c r="E67">
        <v>1</v>
      </c>
      <c r="F67">
        <v>3</v>
      </c>
      <c r="G67" t="str">
        <f>VLOOKUP($F67,FiveParts!$A$3:$B$33,2,FALSE)</f>
        <v>A3</v>
      </c>
    </row>
    <row r="68" spans="1:7" x14ac:dyDescent="0.4">
      <c r="A68" t="s">
        <v>299</v>
      </c>
      <c r="B68" s="4">
        <v>1.9422999999999999E-2</v>
      </c>
      <c r="C68">
        <v>2.5832000000000001E-2</v>
      </c>
      <c r="D68" s="5">
        <v>693830</v>
      </c>
      <c r="E68">
        <v>1</v>
      </c>
      <c r="F68">
        <v>5</v>
      </c>
      <c r="G68" t="str">
        <f>VLOOKUP($F68,FiveParts!$A$3:$B$33,2,FALSE)</f>
        <v>A5</v>
      </c>
    </row>
    <row r="69" spans="1:7" x14ac:dyDescent="0.4">
      <c r="A69" t="s">
        <v>299</v>
      </c>
      <c r="B69" s="4">
        <v>0.26356000000000002</v>
      </c>
      <c r="C69">
        <v>0.29004000000000002</v>
      </c>
      <c r="D69" s="5">
        <v>505660</v>
      </c>
      <c r="E69">
        <v>2</v>
      </c>
      <c r="F69" t="s">
        <v>280</v>
      </c>
      <c r="G69" t="str">
        <f>VLOOKUP($F69,FiveParts!$A$3:$B$33,2,FALSE)</f>
        <v>A8</v>
      </c>
    </row>
    <row r="70" spans="1:7" x14ac:dyDescent="0.4">
      <c r="A70" t="s">
        <v>299</v>
      </c>
      <c r="B70" s="4">
        <v>0.25083</v>
      </c>
      <c r="C70">
        <v>0.27777000000000002</v>
      </c>
      <c r="D70" s="5">
        <v>514400</v>
      </c>
      <c r="E70">
        <v>2</v>
      </c>
      <c r="F70" t="s">
        <v>121</v>
      </c>
      <c r="G70" t="str">
        <f>VLOOKUP($F70,FiveParts!$A$3:$B$33,2,FALSE)</f>
        <v>A13</v>
      </c>
    </row>
    <row r="71" spans="1:7" x14ac:dyDescent="0.4">
      <c r="A71" t="s">
        <v>299</v>
      </c>
      <c r="B71" s="4">
        <v>0.24109</v>
      </c>
      <c r="C71">
        <v>0.26837</v>
      </c>
      <c r="D71" s="5">
        <v>521090</v>
      </c>
      <c r="E71">
        <v>2</v>
      </c>
      <c r="F71" t="s">
        <v>117</v>
      </c>
      <c r="G71" t="str">
        <f>VLOOKUP($F71,FiveParts!$A$3:$B$33,2,FALSE)</f>
        <v>A11</v>
      </c>
    </row>
    <row r="72" spans="1:7" x14ac:dyDescent="0.4">
      <c r="A72" t="s">
        <v>299</v>
      </c>
      <c r="B72" s="4">
        <v>0.22442999999999999</v>
      </c>
      <c r="C72">
        <v>0.2447</v>
      </c>
      <c r="D72" s="5">
        <v>537940</v>
      </c>
      <c r="E72">
        <v>2</v>
      </c>
      <c r="F72" t="s">
        <v>111</v>
      </c>
      <c r="G72" t="str">
        <f>VLOOKUP($F72,FiveParts!$A$3:$B$33,2,FALSE)</f>
        <v>A7</v>
      </c>
    </row>
    <row r="73" spans="1:7" x14ac:dyDescent="0.4">
      <c r="A73" t="s">
        <v>299</v>
      </c>
      <c r="B73" s="4">
        <v>0.19721</v>
      </c>
      <c r="C73">
        <v>0.21820000000000001</v>
      </c>
      <c r="D73" s="5">
        <v>556820</v>
      </c>
      <c r="E73">
        <v>2</v>
      </c>
      <c r="F73" t="s">
        <v>109</v>
      </c>
      <c r="G73" t="str">
        <f>VLOOKUP($F73,FiveParts!$A$3:$B$33,2,FALSE)</f>
        <v>A6</v>
      </c>
    </row>
    <row r="74" spans="1:7" x14ac:dyDescent="0.4">
      <c r="A74" t="s">
        <v>299</v>
      </c>
      <c r="B74" s="4">
        <v>0.19309999999999999</v>
      </c>
      <c r="C74">
        <v>0.21682999999999999</v>
      </c>
      <c r="D74" s="5">
        <v>557800</v>
      </c>
      <c r="E74">
        <v>2</v>
      </c>
      <c r="F74" t="s">
        <v>281</v>
      </c>
      <c r="G74" t="str">
        <f>VLOOKUP($F74,FiveParts!$A$3:$B$33,2,FALSE)</f>
        <v>A15</v>
      </c>
    </row>
    <row r="75" spans="1:7" x14ac:dyDescent="0.4">
      <c r="A75" t="s">
        <v>299</v>
      </c>
      <c r="B75" s="4">
        <v>0.16341</v>
      </c>
      <c r="C75">
        <v>0.17981</v>
      </c>
      <c r="D75" s="5">
        <v>584160</v>
      </c>
      <c r="E75">
        <v>2</v>
      </c>
      <c r="F75" t="s">
        <v>115</v>
      </c>
      <c r="G75" t="str">
        <f>VLOOKUP($F75,FiveParts!$A$3:$B$33,2,FALSE)</f>
        <v>A9</v>
      </c>
    </row>
    <row r="76" spans="1:7" x14ac:dyDescent="0.4">
      <c r="A76" t="s">
        <v>299</v>
      </c>
      <c r="B76" s="4">
        <v>0.12192</v>
      </c>
      <c r="C76">
        <v>0.14488000000000001</v>
      </c>
      <c r="D76" s="5">
        <v>609040</v>
      </c>
      <c r="E76">
        <v>2</v>
      </c>
      <c r="F76" t="s">
        <v>282</v>
      </c>
      <c r="G76" t="str">
        <f>VLOOKUP($F76,FiveParts!$A$3:$B$33,2,FALSE)</f>
        <v>A10</v>
      </c>
    </row>
    <row r="77" spans="1:7" x14ac:dyDescent="0.4">
      <c r="A77" t="s">
        <v>299</v>
      </c>
      <c r="B77" s="4">
        <v>7.7251E-2</v>
      </c>
      <c r="C77">
        <v>9.5343999999999998E-2</v>
      </c>
      <c r="D77" s="5">
        <v>644320</v>
      </c>
      <c r="E77">
        <v>2</v>
      </c>
      <c r="F77" t="s">
        <v>119</v>
      </c>
      <c r="G77" t="str">
        <f>VLOOKUP($F77,FiveParts!$A$3:$B$33,2,FALSE)</f>
        <v>A12</v>
      </c>
    </row>
    <row r="78" spans="1:7" x14ac:dyDescent="0.4">
      <c r="A78" t="s">
        <v>299</v>
      </c>
      <c r="B78" s="4">
        <v>7.3039999999999994E-2</v>
      </c>
      <c r="C78">
        <v>9.1216000000000005E-2</v>
      </c>
      <c r="D78" s="5">
        <v>647260</v>
      </c>
      <c r="E78">
        <v>2</v>
      </c>
      <c r="F78" t="s">
        <v>283</v>
      </c>
      <c r="G78" t="str">
        <f>VLOOKUP($F78,FiveParts!$A$3:$B$33,2,FALSE)</f>
        <v>A14</v>
      </c>
    </row>
    <row r="79" spans="1:7" x14ac:dyDescent="0.4">
      <c r="A79" t="s">
        <v>299</v>
      </c>
      <c r="B79" s="4">
        <v>0.29829</v>
      </c>
      <c r="C79">
        <v>0.33268999999999999</v>
      </c>
      <c r="D79" s="5">
        <v>475280</v>
      </c>
      <c r="E79">
        <v>3</v>
      </c>
      <c r="F79" t="s">
        <v>284</v>
      </c>
      <c r="G79" t="str">
        <f>VLOOKUP($F79,FiveParts!$A$3:$B$33,2,FALSE)</f>
        <v>A19</v>
      </c>
    </row>
    <row r="80" spans="1:7" x14ac:dyDescent="0.4">
      <c r="A80" t="s">
        <v>299</v>
      </c>
      <c r="B80" s="4">
        <v>0.28791</v>
      </c>
      <c r="C80">
        <v>0.32282</v>
      </c>
      <c r="D80" s="5">
        <v>482310</v>
      </c>
      <c r="E80">
        <v>3</v>
      </c>
      <c r="F80" s="6" t="s">
        <v>130</v>
      </c>
      <c r="G80" t="str">
        <f>VLOOKUP($F80,FiveParts!$A$3:$B$33,2,FALSE)</f>
        <v>A22</v>
      </c>
    </row>
    <row r="81" spans="1:7" x14ac:dyDescent="0.4">
      <c r="A81" t="s">
        <v>299</v>
      </c>
      <c r="B81" s="4">
        <v>0.2802</v>
      </c>
      <c r="C81">
        <v>0.31547999999999998</v>
      </c>
      <c r="D81" s="5">
        <v>487530</v>
      </c>
      <c r="E81">
        <v>3</v>
      </c>
      <c r="F81" t="s">
        <v>287</v>
      </c>
      <c r="G81" t="str">
        <f>VLOOKUP($F81,FiveParts!$A$3:$B$33,2,FALSE)</f>
        <v>A17</v>
      </c>
    </row>
    <row r="82" spans="1:7" x14ac:dyDescent="0.4">
      <c r="A82" t="s">
        <v>299</v>
      </c>
      <c r="B82" s="4">
        <v>0.27701999999999999</v>
      </c>
      <c r="C82">
        <v>0.30774000000000001</v>
      </c>
      <c r="D82" s="5">
        <v>493050</v>
      </c>
      <c r="E82">
        <v>3</v>
      </c>
      <c r="F82" s="6" t="s">
        <v>285</v>
      </c>
      <c r="G82" t="str">
        <f>VLOOKUP($F82,FiveParts!$A$3:$B$33,2,FALSE)</f>
        <v>A21</v>
      </c>
    </row>
    <row r="83" spans="1:7" x14ac:dyDescent="0.4">
      <c r="A83" t="s">
        <v>299</v>
      </c>
      <c r="B83" s="4">
        <v>0.25929999999999997</v>
      </c>
      <c r="C83">
        <v>0.29076999999999997</v>
      </c>
      <c r="D83" s="5">
        <v>505130</v>
      </c>
      <c r="E83">
        <v>3</v>
      </c>
      <c r="F83" s="6" t="s">
        <v>292</v>
      </c>
      <c r="G83" t="str">
        <f>VLOOKUP($F83,FiveParts!$A$3:$B$33,2,FALSE)</f>
        <v>A25</v>
      </c>
    </row>
    <row r="84" spans="1:7" x14ac:dyDescent="0.4">
      <c r="A84" t="s">
        <v>299</v>
      </c>
      <c r="B84" s="4">
        <v>0.25494</v>
      </c>
      <c r="C84">
        <v>0.28659000000000001</v>
      </c>
      <c r="D84" s="5">
        <v>508110</v>
      </c>
      <c r="E84">
        <v>3</v>
      </c>
      <c r="F84" t="s">
        <v>286</v>
      </c>
      <c r="G84" t="str">
        <f>VLOOKUP($F84,FiveParts!$A$3:$B$33,2,FALSE)</f>
        <v>A24</v>
      </c>
    </row>
    <row r="85" spans="1:7" x14ac:dyDescent="0.4">
      <c r="A85" t="s">
        <v>299</v>
      </c>
      <c r="B85" s="4">
        <v>0.25335999999999997</v>
      </c>
      <c r="C85">
        <v>0.28264</v>
      </c>
      <c r="D85" s="5">
        <v>510920</v>
      </c>
      <c r="E85">
        <v>3</v>
      </c>
      <c r="F85" s="6" t="s">
        <v>293</v>
      </c>
      <c r="G85" t="str">
        <f>VLOOKUP($F85,FiveParts!$A$3:$B$33,2,FALSE)</f>
        <v>A16</v>
      </c>
    </row>
    <row r="86" spans="1:7" x14ac:dyDescent="0.4">
      <c r="A86" t="s">
        <v>299</v>
      </c>
      <c r="B86" s="4">
        <v>0.24254000000000001</v>
      </c>
      <c r="C86">
        <v>0.26729000000000003</v>
      </c>
      <c r="D86" s="5">
        <v>521860</v>
      </c>
      <c r="E86">
        <v>3</v>
      </c>
      <c r="F86" t="s">
        <v>288</v>
      </c>
      <c r="G86" t="str">
        <f>VLOOKUP($F86,FiveParts!$A$3:$B$33,2,FALSE)</f>
        <v>A20</v>
      </c>
    </row>
    <row r="87" spans="1:7" x14ac:dyDescent="0.4">
      <c r="A87" t="s">
        <v>299</v>
      </c>
      <c r="B87" s="4">
        <v>0.21401000000000001</v>
      </c>
      <c r="C87">
        <v>0.23968999999999999</v>
      </c>
      <c r="D87" s="5">
        <v>541510</v>
      </c>
      <c r="E87">
        <v>3</v>
      </c>
      <c r="F87" t="s">
        <v>289</v>
      </c>
      <c r="G87" t="str">
        <f>VLOOKUP($F87,FiveParts!$A$3:$B$33,2,FALSE)</f>
        <v>A18</v>
      </c>
    </row>
    <row r="88" spans="1:7" x14ac:dyDescent="0.4">
      <c r="A88" t="s">
        <v>299</v>
      </c>
      <c r="B88" s="4">
        <v>0.1416</v>
      </c>
      <c r="C88">
        <v>0.16965</v>
      </c>
      <c r="D88" s="5">
        <v>591400</v>
      </c>
      <c r="E88">
        <v>3</v>
      </c>
      <c r="F88" t="s">
        <v>290</v>
      </c>
      <c r="G88" t="str">
        <f>VLOOKUP($F88,FiveParts!$A$3:$B$33,2,FALSE)</f>
        <v>A23</v>
      </c>
    </row>
    <row r="89" spans="1:7" x14ac:dyDescent="0.4">
      <c r="A89" t="s">
        <v>299</v>
      </c>
      <c r="B89" s="4">
        <v>0.31763000000000002</v>
      </c>
      <c r="C89">
        <v>0.36</v>
      </c>
      <c r="D89" s="5">
        <v>455830</v>
      </c>
      <c r="E89">
        <v>4</v>
      </c>
      <c r="F89" s="6" t="s">
        <v>296</v>
      </c>
      <c r="G89" t="str">
        <f>VLOOKUP($F89,FiveParts!$A$3:$B$33,2,FALSE)</f>
        <v>A26</v>
      </c>
    </row>
    <row r="90" spans="1:7" x14ac:dyDescent="0.4">
      <c r="A90" t="s">
        <v>299</v>
      </c>
      <c r="B90" s="4">
        <v>0.31007000000000001</v>
      </c>
      <c r="C90">
        <v>0.34839999999999999</v>
      </c>
      <c r="D90" s="5">
        <v>464090</v>
      </c>
      <c r="E90">
        <v>4</v>
      </c>
      <c r="F90" s="6" t="s">
        <v>295</v>
      </c>
      <c r="G90" t="str">
        <f>VLOOKUP($F90,FiveParts!$A$3:$B$33,2,FALSE)</f>
        <v>A29</v>
      </c>
    </row>
    <row r="91" spans="1:7" x14ac:dyDescent="0.4">
      <c r="A91" t="s">
        <v>299</v>
      </c>
      <c r="B91" s="4">
        <v>0.29864000000000002</v>
      </c>
      <c r="C91">
        <v>0.33761000000000002</v>
      </c>
      <c r="D91" s="5">
        <v>471770</v>
      </c>
      <c r="E91">
        <v>4</v>
      </c>
      <c r="F91" s="6" t="s">
        <v>294</v>
      </c>
      <c r="G91" t="str">
        <f>VLOOKUP($F91,FiveParts!$A$3:$B$33,2,FALSE)</f>
        <v>A30</v>
      </c>
    </row>
    <row r="92" spans="1:7" x14ac:dyDescent="0.4">
      <c r="A92" t="s">
        <v>299</v>
      </c>
      <c r="B92" s="4">
        <v>0.29431000000000002</v>
      </c>
      <c r="C92">
        <v>0.33350999999999997</v>
      </c>
      <c r="D92" s="5">
        <v>474690</v>
      </c>
      <c r="E92">
        <v>4</v>
      </c>
      <c r="F92" s="6" t="s">
        <v>291</v>
      </c>
      <c r="G92" t="str">
        <f>VLOOKUP($F92,FiveParts!$A$3:$B$33,2,FALSE)</f>
        <v>A28</v>
      </c>
    </row>
    <row r="93" spans="1:7" x14ac:dyDescent="0.4">
      <c r="A93" t="s">
        <v>299</v>
      </c>
      <c r="B93" s="4">
        <v>0.27189999999999998</v>
      </c>
      <c r="C93">
        <v>0.30520999999999998</v>
      </c>
      <c r="D93" s="5">
        <v>494850</v>
      </c>
      <c r="E93">
        <v>4</v>
      </c>
      <c r="F93" t="s">
        <v>297</v>
      </c>
      <c r="G93" t="str">
        <f>VLOOKUP($F93,FiveParts!$A$3:$B$33,2,FALSE)</f>
        <v>A27</v>
      </c>
    </row>
    <row r="94" spans="1:7" x14ac:dyDescent="0.4">
      <c r="A94" t="s">
        <v>299</v>
      </c>
      <c r="B94" s="4">
        <v>0.33401999999999998</v>
      </c>
      <c r="C94">
        <v>0.37972</v>
      </c>
      <c r="D94" s="5">
        <v>441780</v>
      </c>
      <c r="E94">
        <v>5</v>
      </c>
      <c r="F94" t="s">
        <v>300</v>
      </c>
      <c r="G94" t="str">
        <f>VLOOKUP($F94,FiveParts!$A$3:$B$33,2,FALSE)</f>
        <v>A31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0F2F5-7DE4-4227-9110-76C67503BC24}">
  <dimension ref="A1:G94"/>
  <sheetViews>
    <sheetView workbookViewId="0">
      <selection activeCell="F91" sqref="F91"/>
    </sheetView>
  </sheetViews>
  <sheetFormatPr defaultRowHeight="14.6" x14ac:dyDescent="0.4"/>
  <sheetData>
    <row r="1" spans="1:7" x14ac:dyDescent="0.4">
      <c r="A1" t="s">
        <v>275</v>
      </c>
      <c r="B1" s="4" t="s">
        <v>302</v>
      </c>
      <c r="C1" t="s">
        <v>303</v>
      </c>
      <c r="D1" t="s">
        <v>277</v>
      </c>
      <c r="E1" t="s">
        <v>278</v>
      </c>
      <c r="F1" t="s">
        <v>279</v>
      </c>
      <c r="G1" t="s">
        <v>32</v>
      </c>
    </row>
    <row r="2" spans="1:7" x14ac:dyDescent="0.4">
      <c r="A2" t="s">
        <v>276</v>
      </c>
      <c r="B2" s="4">
        <v>0.17080999999999999</v>
      </c>
      <c r="C2">
        <v>0.1804</v>
      </c>
      <c r="D2" s="5">
        <v>486710</v>
      </c>
      <c r="E2">
        <v>1</v>
      </c>
      <c r="F2">
        <v>3</v>
      </c>
      <c r="G2" t="str">
        <f>VLOOKUP($F2,FiveParts!$A$3:$B$33,2,FALSE)</f>
        <v>A3</v>
      </c>
    </row>
    <row r="3" spans="1:7" x14ac:dyDescent="0.4">
      <c r="A3" t="s">
        <v>276</v>
      </c>
      <c r="B3" s="4">
        <v>0.11939</v>
      </c>
      <c r="C3">
        <v>0.12956999999999999</v>
      </c>
      <c r="D3" s="5">
        <v>516890</v>
      </c>
      <c r="E3">
        <v>1</v>
      </c>
      <c r="F3">
        <v>5</v>
      </c>
      <c r="G3" t="str">
        <f>VLOOKUP($F3,FiveParts!$A$3:$B$33,2,FALSE)</f>
        <v>A5</v>
      </c>
    </row>
    <row r="4" spans="1:7" x14ac:dyDescent="0.4">
      <c r="A4" t="s">
        <v>276</v>
      </c>
      <c r="B4" s="4">
        <v>0.10496</v>
      </c>
      <c r="C4">
        <v>0.11013000000000001</v>
      </c>
      <c r="D4" s="5">
        <v>528430</v>
      </c>
      <c r="E4">
        <v>1</v>
      </c>
      <c r="F4">
        <v>1</v>
      </c>
      <c r="G4" t="str">
        <f>VLOOKUP($F4,FiveParts!$A$3:$B$33,2,FALSE)</f>
        <v>A1</v>
      </c>
    </row>
    <row r="5" spans="1:7" x14ac:dyDescent="0.4">
      <c r="A5" t="s">
        <v>276</v>
      </c>
      <c r="B5" s="4">
        <v>0.10215</v>
      </c>
      <c r="C5">
        <v>0.11253000000000001</v>
      </c>
      <c r="D5" s="5">
        <v>527010</v>
      </c>
      <c r="E5">
        <v>1</v>
      </c>
      <c r="F5">
        <v>4</v>
      </c>
      <c r="G5" t="str">
        <f>VLOOKUP($F5,FiveParts!$A$3:$B$33,2,FALSE)</f>
        <v>A4</v>
      </c>
    </row>
    <row r="6" spans="1:7" x14ac:dyDescent="0.4">
      <c r="A6" t="s">
        <v>276</v>
      </c>
      <c r="B6" s="4">
        <v>1.4912E-2</v>
      </c>
      <c r="C6">
        <v>1.7759E-2</v>
      </c>
      <c r="D6" s="5">
        <v>583290</v>
      </c>
      <c r="E6">
        <v>1</v>
      </c>
      <c r="F6">
        <v>2</v>
      </c>
      <c r="G6" t="str">
        <f>VLOOKUP($F6,FiveParts!$A$3:$B$33,2,FALSE)</f>
        <v>A2</v>
      </c>
    </row>
    <row r="7" spans="1:7" x14ac:dyDescent="0.4">
      <c r="A7" t="s">
        <v>276</v>
      </c>
      <c r="B7" s="4">
        <v>0.31329000000000001</v>
      </c>
      <c r="C7">
        <v>0.32519999999999999</v>
      </c>
      <c r="D7" s="5">
        <v>400720</v>
      </c>
      <c r="E7">
        <v>2</v>
      </c>
      <c r="F7" t="s">
        <v>111</v>
      </c>
      <c r="G7" t="str">
        <f>VLOOKUP($F7,FiveParts!$A$3:$B$33,2,FALSE)</f>
        <v>A7</v>
      </c>
    </row>
    <row r="8" spans="1:7" x14ac:dyDescent="0.4">
      <c r="A8" t="s">
        <v>276</v>
      </c>
      <c r="B8" s="4">
        <v>0.30760999999999999</v>
      </c>
      <c r="C8">
        <v>0.32362000000000002</v>
      </c>
      <c r="D8" s="5">
        <v>401660</v>
      </c>
      <c r="E8">
        <v>2</v>
      </c>
      <c r="F8" t="s">
        <v>283</v>
      </c>
      <c r="G8" t="str">
        <f>VLOOKUP($F8,FiveParts!$A$3:$B$33,2,FALSE)</f>
        <v>A14</v>
      </c>
    </row>
    <row r="9" spans="1:7" x14ac:dyDescent="0.4">
      <c r="A9" t="s">
        <v>276</v>
      </c>
      <c r="B9" s="4">
        <v>0.27195000000000003</v>
      </c>
      <c r="C9">
        <v>0.28878999999999999</v>
      </c>
      <c r="D9" s="5">
        <v>422340</v>
      </c>
      <c r="E9">
        <v>2</v>
      </c>
      <c r="F9" t="s">
        <v>121</v>
      </c>
      <c r="G9" t="str">
        <f>VLOOKUP($F9,FiveParts!$A$3:$B$33,2,FALSE)</f>
        <v>A13</v>
      </c>
    </row>
    <row r="10" spans="1:7" x14ac:dyDescent="0.4">
      <c r="A10" t="s">
        <v>276</v>
      </c>
      <c r="B10" s="4">
        <v>0.23213</v>
      </c>
      <c r="C10">
        <v>0.24987999999999999</v>
      </c>
      <c r="D10" s="5">
        <v>445440</v>
      </c>
      <c r="E10">
        <v>2</v>
      </c>
      <c r="F10" t="s">
        <v>281</v>
      </c>
      <c r="G10" t="str">
        <f>VLOOKUP($F10,FiveParts!$A$3:$B$33,2,FALSE)</f>
        <v>A15</v>
      </c>
    </row>
    <row r="11" spans="1:7" x14ac:dyDescent="0.4">
      <c r="A11" t="s">
        <v>276</v>
      </c>
      <c r="B11" s="4">
        <v>0.21074000000000001</v>
      </c>
      <c r="C11">
        <v>0.22442000000000001</v>
      </c>
      <c r="D11" s="5">
        <v>460560</v>
      </c>
      <c r="E11">
        <v>2</v>
      </c>
      <c r="F11" t="s">
        <v>280</v>
      </c>
      <c r="G11" t="str">
        <f>VLOOKUP($F11,FiveParts!$A$3:$B$33,2,FALSE)</f>
        <v>A8</v>
      </c>
    </row>
    <row r="12" spans="1:7" x14ac:dyDescent="0.4">
      <c r="A12" t="s">
        <v>276</v>
      </c>
      <c r="B12" s="4">
        <v>0.19363</v>
      </c>
      <c r="C12">
        <v>0.20760999999999999</v>
      </c>
      <c r="D12" s="5">
        <v>470550</v>
      </c>
      <c r="E12">
        <v>2</v>
      </c>
      <c r="F12" t="s">
        <v>115</v>
      </c>
      <c r="G12" t="str">
        <f>VLOOKUP($F12,FiveParts!$A$3:$B$33,2,FALSE)</f>
        <v>A9</v>
      </c>
    </row>
    <row r="13" spans="1:7" x14ac:dyDescent="0.4">
      <c r="A13" t="s">
        <v>276</v>
      </c>
      <c r="B13" s="4">
        <v>0.18751000000000001</v>
      </c>
      <c r="C13">
        <v>0.19925999999999999</v>
      </c>
      <c r="D13" s="5">
        <v>475510</v>
      </c>
      <c r="E13">
        <v>2</v>
      </c>
      <c r="F13" t="s">
        <v>282</v>
      </c>
      <c r="G13" t="str">
        <f>VLOOKUP($F13,FiveParts!$A$3:$B$33,2,FALSE)</f>
        <v>A10</v>
      </c>
    </row>
    <row r="14" spans="1:7" x14ac:dyDescent="0.4">
      <c r="A14" t="s">
        <v>276</v>
      </c>
      <c r="B14" s="4">
        <v>0.12328</v>
      </c>
      <c r="C14">
        <v>0.13594999999999999</v>
      </c>
      <c r="D14" s="5">
        <v>513100</v>
      </c>
      <c r="E14">
        <v>2</v>
      </c>
      <c r="F14" t="s">
        <v>119</v>
      </c>
      <c r="G14" t="str">
        <f>VLOOKUP($F14,FiveParts!$A$3:$B$33,2,FALSE)</f>
        <v>A12</v>
      </c>
    </row>
    <row r="15" spans="1:7" x14ac:dyDescent="0.4">
      <c r="A15" t="s">
        <v>276</v>
      </c>
      <c r="B15" s="4">
        <v>0.11971</v>
      </c>
      <c r="C15">
        <v>0.12734999999999999</v>
      </c>
      <c r="D15" s="5">
        <v>518210</v>
      </c>
      <c r="E15">
        <v>2</v>
      </c>
      <c r="F15" t="s">
        <v>109</v>
      </c>
      <c r="G15" t="str">
        <f>VLOOKUP($F15,FiveParts!$A$3:$B$33,2,FALSE)</f>
        <v>A6</v>
      </c>
    </row>
    <row r="16" spans="1:7" x14ac:dyDescent="0.4">
      <c r="A16" t="s">
        <v>276</v>
      </c>
      <c r="B16" s="4">
        <v>0.11564000000000001</v>
      </c>
      <c r="C16">
        <v>0.12842000000000001</v>
      </c>
      <c r="D16" s="5">
        <v>517570</v>
      </c>
      <c r="E16">
        <v>2</v>
      </c>
      <c r="F16" t="s">
        <v>117</v>
      </c>
      <c r="G16" t="str">
        <f>VLOOKUP($F16,FiveParts!$A$3:$B$33,2,FALSE)</f>
        <v>A11</v>
      </c>
    </row>
    <row r="17" spans="1:7" x14ac:dyDescent="0.4">
      <c r="A17" t="s">
        <v>276</v>
      </c>
      <c r="B17" s="4">
        <v>0.3886</v>
      </c>
      <c r="C17">
        <v>0.40627000000000002</v>
      </c>
      <c r="D17" s="5">
        <v>352580</v>
      </c>
      <c r="E17">
        <v>3</v>
      </c>
      <c r="F17" t="s">
        <v>288</v>
      </c>
      <c r="G17" t="str">
        <f>VLOOKUP($F17,FiveParts!$A$3:$B$33,2,FALSE)</f>
        <v>A20</v>
      </c>
    </row>
    <row r="18" spans="1:7" x14ac:dyDescent="0.4">
      <c r="A18" t="s">
        <v>276</v>
      </c>
      <c r="B18" s="4">
        <v>0.36814999999999998</v>
      </c>
      <c r="C18">
        <v>0.39006000000000002</v>
      </c>
      <c r="D18" s="5">
        <v>362200</v>
      </c>
      <c r="E18">
        <v>3</v>
      </c>
      <c r="F18" s="6" t="s">
        <v>292</v>
      </c>
      <c r="G18" t="str">
        <f>VLOOKUP($F18,FiveParts!$A$3:$B$33,2,FALSE)</f>
        <v>A25</v>
      </c>
    </row>
    <row r="19" spans="1:7" x14ac:dyDescent="0.4">
      <c r="A19" t="s">
        <v>276</v>
      </c>
      <c r="B19" s="4">
        <v>0.36588999999999999</v>
      </c>
      <c r="C19">
        <v>0.38422000000000001</v>
      </c>
      <c r="D19" s="5">
        <v>365670</v>
      </c>
      <c r="E19">
        <v>3</v>
      </c>
      <c r="F19" t="s">
        <v>284</v>
      </c>
      <c r="G19" t="str">
        <f>VLOOKUP($F19,FiveParts!$A$3:$B$33,2,FALSE)</f>
        <v>A19</v>
      </c>
    </row>
    <row r="20" spans="1:7" x14ac:dyDescent="0.4">
      <c r="A20" t="s">
        <v>276</v>
      </c>
      <c r="B20" s="4">
        <v>0.33596999999999999</v>
      </c>
      <c r="C20">
        <v>0.34939999999999999</v>
      </c>
      <c r="D20" s="5">
        <v>386350</v>
      </c>
      <c r="E20">
        <v>3</v>
      </c>
      <c r="F20" s="6" t="s">
        <v>293</v>
      </c>
      <c r="G20" t="str">
        <f>VLOOKUP($F20,FiveParts!$A$3:$B$33,2,FALSE)</f>
        <v>A16</v>
      </c>
    </row>
    <row r="21" spans="1:7" x14ac:dyDescent="0.4">
      <c r="A21" t="s">
        <v>276</v>
      </c>
      <c r="B21" s="4">
        <v>0.31691000000000003</v>
      </c>
      <c r="C21">
        <v>0.33467999999999998</v>
      </c>
      <c r="D21" s="5">
        <v>395090</v>
      </c>
      <c r="E21">
        <v>3</v>
      </c>
      <c r="F21" t="s">
        <v>290</v>
      </c>
      <c r="G21" t="str">
        <f>VLOOKUP($F21,FiveParts!$A$3:$B$33,2,FALSE)</f>
        <v>A23</v>
      </c>
    </row>
    <row r="22" spans="1:7" x14ac:dyDescent="0.4">
      <c r="A22" t="s">
        <v>276</v>
      </c>
      <c r="B22" s="4">
        <v>0.2888</v>
      </c>
      <c r="C22">
        <v>0.30729000000000001</v>
      </c>
      <c r="D22" s="5">
        <v>411350</v>
      </c>
      <c r="E22">
        <v>3</v>
      </c>
      <c r="F22" s="6" t="s">
        <v>130</v>
      </c>
      <c r="G22" t="str">
        <f>VLOOKUP($F22,FiveParts!$A$3:$B$33,2,FALSE)</f>
        <v>A22</v>
      </c>
    </row>
    <row r="23" spans="1:7" x14ac:dyDescent="0.4">
      <c r="A23" t="s">
        <v>276</v>
      </c>
      <c r="B23" s="4">
        <v>0.28675</v>
      </c>
      <c r="C23">
        <v>0.30736999999999998</v>
      </c>
      <c r="D23" s="5">
        <v>411310</v>
      </c>
      <c r="E23">
        <v>3</v>
      </c>
      <c r="F23" t="s">
        <v>285</v>
      </c>
      <c r="G23" t="str">
        <f>VLOOKUP($F23,FiveParts!$A$3:$B$33,2,FALSE)</f>
        <v>A21</v>
      </c>
    </row>
    <row r="24" spans="1:7" x14ac:dyDescent="0.4">
      <c r="A24" t="s">
        <v>276</v>
      </c>
      <c r="B24" s="4">
        <v>0.2369</v>
      </c>
      <c r="C24">
        <v>0.25674999999999998</v>
      </c>
      <c r="D24" s="5">
        <v>441370</v>
      </c>
      <c r="E24">
        <v>3</v>
      </c>
      <c r="F24" t="s">
        <v>286</v>
      </c>
      <c r="G24" t="str">
        <f>VLOOKUP($F24,FiveParts!$A$3:$B$33,2,FALSE)</f>
        <v>A24</v>
      </c>
    </row>
    <row r="25" spans="1:7" x14ac:dyDescent="0.4">
      <c r="A25" t="s">
        <v>276</v>
      </c>
      <c r="B25" s="4">
        <v>0.2273</v>
      </c>
      <c r="C25">
        <v>0.24293999999999999</v>
      </c>
      <c r="D25" s="5">
        <v>449570</v>
      </c>
      <c r="E25">
        <v>3</v>
      </c>
      <c r="F25" t="s">
        <v>287</v>
      </c>
      <c r="G25" t="str">
        <f>VLOOKUP($F25,FiveParts!$A$3:$B$33,2,FALSE)</f>
        <v>A17</v>
      </c>
    </row>
    <row r="26" spans="1:7" x14ac:dyDescent="0.4">
      <c r="A26" t="s">
        <v>276</v>
      </c>
      <c r="B26" s="4">
        <v>0.19675999999999999</v>
      </c>
      <c r="C26">
        <v>0.21301</v>
      </c>
      <c r="D26" s="5">
        <v>467340</v>
      </c>
      <c r="E26">
        <v>3</v>
      </c>
      <c r="F26" t="s">
        <v>289</v>
      </c>
      <c r="G26" t="str">
        <f>VLOOKUP($F26,FiveParts!$A$3:$B$33,2,FALSE)</f>
        <v>A18</v>
      </c>
    </row>
    <row r="27" spans="1:7" x14ac:dyDescent="0.4">
      <c r="A27" t="s">
        <v>276</v>
      </c>
      <c r="B27" s="4">
        <v>0.42792999999999998</v>
      </c>
      <c r="C27">
        <v>0.45107999999999998</v>
      </c>
      <c r="D27" s="5">
        <v>325970</v>
      </c>
      <c r="E27">
        <v>4</v>
      </c>
      <c r="F27" t="s">
        <v>295</v>
      </c>
      <c r="G27" t="str">
        <f>VLOOKUP($F27,FiveParts!$A$3:$B$33,2,FALSE)</f>
        <v>A29</v>
      </c>
    </row>
    <row r="28" spans="1:7" x14ac:dyDescent="0.4">
      <c r="A28" t="s">
        <v>276</v>
      </c>
      <c r="B28" s="4">
        <v>0.40483999999999998</v>
      </c>
      <c r="C28">
        <v>0.42376000000000003</v>
      </c>
      <c r="D28" s="5">
        <v>342190</v>
      </c>
      <c r="E28">
        <v>4</v>
      </c>
      <c r="F28" t="s">
        <v>297</v>
      </c>
      <c r="G28" t="str">
        <f>VLOOKUP($F28,FiveParts!$A$3:$B$33,2,FALSE)</f>
        <v>A27</v>
      </c>
    </row>
    <row r="29" spans="1:7" x14ac:dyDescent="0.4">
      <c r="A29" t="s">
        <v>276</v>
      </c>
      <c r="B29" s="4">
        <v>0.38874999999999998</v>
      </c>
      <c r="C29">
        <v>0.40817999999999999</v>
      </c>
      <c r="D29" s="5">
        <v>351440</v>
      </c>
      <c r="E29">
        <v>4</v>
      </c>
      <c r="F29" s="6" t="s">
        <v>296</v>
      </c>
      <c r="G29" t="str">
        <f>VLOOKUP($F29,FiveParts!$A$3:$B$33,2,FALSE)</f>
        <v>A26</v>
      </c>
    </row>
    <row r="30" spans="1:7" x14ac:dyDescent="0.4">
      <c r="A30" t="s">
        <v>276</v>
      </c>
      <c r="B30" s="4">
        <v>0.37837999999999999</v>
      </c>
      <c r="C30">
        <v>0.40172999999999998</v>
      </c>
      <c r="D30" s="5">
        <v>355270</v>
      </c>
      <c r="E30">
        <v>4</v>
      </c>
      <c r="F30" s="6" t="s">
        <v>294</v>
      </c>
      <c r="G30" t="str">
        <f>VLOOKUP($F30,FiveParts!$A$3:$B$33,2,FALSE)</f>
        <v>A30</v>
      </c>
    </row>
    <row r="31" spans="1:7" x14ac:dyDescent="0.4">
      <c r="A31" t="s">
        <v>276</v>
      </c>
      <c r="B31" s="4">
        <v>0.29099000000000003</v>
      </c>
      <c r="C31">
        <v>0.31353999999999999</v>
      </c>
      <c r="D31" s="5">
        <v>407650</v>
      </c>
      <c r="E31">
        <v>4</v>
      </c>
      <c r="F31" t="s">
        <v>291</v>
      </c>
      <c r="G31" t="str">
        <f>VLOOKUP($F31,FiveParts!$A$3:$B$33,2,FALSE)</f>
        <v>A28</v>
      </c>
    </row>
    <row r="32" spans="1:7" x14ac:dyDescent="0.4">
      <c r="A32" t="s">
        <v>276</v>
      </c>
      <c r="B32" s="4">
        <v>0.44327</v>
      </c>
      <c r="C32">
        <v>0.46739999999999998</v>
      </c>
      <c r="D32" s="5">
        <v>316270</v>
      </c>
      <c r="E32">
        <v>5</v>
      </c>
      <c r="F32" t="s">
        <v>300</v>
      </c>
      <c r="G32" t="str">
        <f>VLOOKUP($F32,FiveParts!$A$3:$B$33,2,FALSE)</f>
        <v>A31</v>
      </c>
    </row>
    <row r="33" spans="1:7" x14ac:dyDescent="0.4">
      <c r="A33" t="s">
        <v>298</v>
      </c>
      <c r="B33" s="4">
        <v>0.13569999999999999</v>
      </c>
      <c r="C33">
        <v>0.14699999999999999</v>
      </c>
      <c r="D33" s="5">
        <v>590360</v>
      </c>
      <c r="E33">
        <v>1</v>
      </c>
      <c r="F33">
        <v>3</v>
      </c>
      <c r="G33" t="str">
        <f>VLOOKUP($F33,FiveParts!$A$3:$B$33,2,FALSE)</f>
        <v>A3</v>
      </c>
    </row>
    <row r="34" spans="1:7" x14ac:dyDescent="0.4">
      <c r="A34" t="s">
        <v>298</v>
      </c>
      <c r="B34" s="4">
        <v>9.0415999999999996E-2</v>
      </c>
      <c r="C34">
        <v>9.6361000000000002E-2</v>
      </c>
      <c r="D34" s="5">
        <v>625410</v>
      </c>
      <c r="E34">
        <v>1</v>
      </c>
      <c r="F34">
        <v>1</v>
      </c>
      <c r="G34" t="str">
        <f>VLOOKUP($F34,FiveParts!$A$3:$B$33,2,FALSE)</f>
        <v>A1</v>
      </c>
    </row>
    <row r="35" spans="1:7" x14ac:dyDescent="0.4">
      <c r="A35" t="s">
        <v>298</v>
      </c>
      <c r="B35" s="4">
        <v>8.7973999999999997E-2</v>
      </c>
      <c r="C35">
        <v>0.10586</v>
      </c>
      <c r="D35" s="5">
        <v>618840</v>
      </c>
      <c r="E35">
        <v>1</v>
      </c>
      <c r="F35">
        <v>5</v>
      </c>
      <c r="G35" t="str">
        <f>VLOOKUP($F35,FiveParts!$A$3:$B$33,2,FALSE)</f>
        <v>A5</v>
      </c>
    </row>
    <row r="36" spans="1:7" x14ac:dyDescent="0.4">
      <c r="A36" t="s">
        <v>298</v>
      </c>
      <c r="B36" s="4">
        <v>7.9055E-2</v>
      </c>
      <c r="C36">
        <v>9.1092999999999993E-2</v>
      </c>
      <c r="D36" s="5">
        <v>629050</v>
      </c>
      <c r="E36">
        <v>1</v>
      </c>
      <c r="F36">
        <v>4</v>
      </c>
      <c r="G36" t="str">
        <f>VLOOKUP($F36,FiveParts!$A$3:$B$33,2,FALSE)</f>
        <v>A4</v>
      </c>
    </row>
    <row r="37" spans="1:7" x14ac:dyDescent="0.4">
      <c r="A37" t="s">
        <v>298</v>
      </c>
      <c r="B37" s="4">
        <v>1.7977E-2</v>
      </c>
      <c r="C37">
        <v>2.1186E-2</v>
      </c>
      <c r="D37" s="5">
        <v>677440</v>
      </c>
      <c r="E37">
        <v>1</v>
      </c>
      <c r="F37">
        <v>2</v>
      </c>
      <c r="G37" t="str">
        <f>VLOOKUP($F37,FiveParts!$A$3:$B$33,2,FALSE)</f>
        <v>A2</v>
      </c>
    </row>
    <row r="38" spans="1:7" x14ac:dyDescent="0.4">
      <c r="A38" t="s">
        <v>298</v>
      </c>
      <c r="B38" s="4">
        <v>0.25220999999999999</v>
      </c>
      <c r="C38">
        <v>0.27665000000000001</v>
      </c>
      <c r="D38" s="5">
        <v>500630</v>
      </c>
      <c r="E38">
        <v>2</v>
      </c>
      <c r="F38" t="s">
        <v>283</v>
      </c>
      <c r="G38" t="str">
        <f>VLOOKUP($F38,FiveParts!$A$3:$B$33,2,FALSE)</f>
        <v>A14</v>
      </c>
    </row>
    <row r="39" spans="1:7" x14ac:dyDescent="0.4">
      <c r="A39" t="s">
        <v>298</v>
      </c>
      <c r="B39" s="4">
        <v>0.24795</v>
      </c>
      <c r="C39">
        <v>0.26268999999999998</v>
      </c>
      <c r="D39" s="5">
        <v>510290</v>
      </c>
      <c r="E39">
        <v>2</v>
      </c>
      <c r="F39" t="s">
        <v>111</v>
      </c>
      <c r="G39" t="str">
        <f>VLOOKUP($F39,FiveParts!$A$3:$B$33,2,FALSE)</f>
        <v>A7</v>
      </c>
    </row>
    <row r="40" spans="1:7" x14ac:dyDescent="0.4">
      <c r="A40" t="s">
        <v>298</v>
      </c>
      <c r="B40" s="4">
        <v>0.21243000000000001</v>
      </c>
      <c r="C40">
        <v>0.23302</v>
      </c>
      <c r="D40" s="5">
        <v>530820</v>
      </c>
      <c r="E40">
        <v>2</v>
      </c>
      <c r="F40" t="s">
        <v>121</v>
      </c>
      <c r="G40" t="str">
        <f>VLOOKUP($F40,FiveParts!$A$3:$B$33,2,FALSE)</f>
        <v>A13</v>
      </c>
    </row>
    <row r="41" spans="1:7" x14ac:dyDescent="0.4">
      <c r="A41" t="s">
        <v>298</v>
      </c>
      <c r="B41" s="4">
        <v>0.19656000000000001</v>
      </c>
      <c r="C41">
        <v>0.22281999999999999</v>
      </c>
      <c r="D41" s="5">
        <v>537880</v>
      </c>
      <c r="E41">
        <v>2</v>
      </c>
      <c r="F41" t="s">
        <v>281</v>
      </c>
      <c r="G41" t="str">
        <f>VLOOKUP($F41,FiveParts!$A$3:$B$33,2,FALSE)</f>
        <v>A15</v>
      </c>
    </row>
    <row r="42" spans="1:7" x14ac:dyDescent="0.4">
      <c r="A42" t="s">
        <v>298</v>
      </c>
      <c r="B42" s="4">
        <v>0.16896</v>
      </c>
      <c r="C42">
        <v>0.18526000000000001</v>
      </c>
      <c r="D42" s="5">
        <v>563880</v>
      </c>
      <c r="E42">
        <v>2</v>
      </c>
      <c r="F42" t="s">
        <v>280</v>
      </c>
      <c r="G42" t="str">
        <f>VLOOKUP($F42,FiveParts!$A$3:$B$33,2,FALSE)</f>
        <v>A8</v>
      </c>
    </row>
    <row r="43" spans="1:7" x14ac:dyDescent="0.4">
      <c r="A43" t="s">
        <v>298</v>
      </c>
      <c r="B43" s="4">
        <v>0.15759000000000001</v>
      </c>
      <c r="C43">
        <v>0.17135</v>
      </c>
      <c r="D43" s="5">
        <v>573500</v>
      </c>
      <c r="E43">
        <v>2</v>
      </c>
      <c r="F43" t="s">
        <v>282</v>
      </c>
      <c r="G43" t="str">
        <f>VLOOKUP($F43,FiveParts!$A$3:$B$33,2,FALSE)</f>
        <v>A10</v>
      </c>
    </row>
    <row r="44" spans="1:7" x14ac:dyDescent="0.4">
      <c r="A44" t="s">
        <v>298</v>
      </c>
      <c r="B44" s="4">
        <v>0.15659999999999999</v>
      </c>
      <c r="C44">
        <v>0.17865</v>
      </c>
      <c r="D44" s="5">
        <v>568460</v>
      </c>
      <c r="E44">
        <v>2</v>
      </c>
      <c r="F44" t="s">
        <v>115</v>
      </c>
      <c r="G44" t="str">
        <f>VLOOKUP($F44,FiveParts!$A$3:$B$33,2,FALSE)</f>
        <v>A9</v>
      </c>
    </row>
    <row r="45" spans="1:7" x14ac:dyDescent="0.4">
      <c r="A45" t="s">
        <v>298</v>
      </c>
      <c r="B45" s="4">
        <v>9.9187999999999998E-2</v>
      </c>
      <c r="C45">
        <v>0.10802</v>
      </c>
      <c r="D45" s="5">
        <v>617340</v>
      </c>
      <c r="E45">
        <v>2</v>
      </c>
      <c r="F45" t="s">
        <v>109</v>
      </c>
      <c r="G45" t="str">
        <f>VLOOKUP($F45,FiveParts!$A$3:$B$33,2,FALSE)</f>
        <v>A6</v>
      </c>
    </row>
    <row r="46" spans="1:7" x14ac:dyDescent="0.4">
      <c r="A46" t="s">
        <v>298</v>
      </c>
      <c r="B46" s="4">
        <v>9.7626000000000004E-2</v>
      </c>
      <c r="C46">
        <v>0.11237</v>
      </c>
      <c r="D46" s="5">
        <v>614330</v>
      </c>
      <c r="E46">
        <v>2</v>
      </c>
      <c r="F46" t="s">
        <v>117</v>
      </c>
      <c r="G46" t="str">
        <f>VLOOKUP($F46,FiveParts!$A$3:$B$33,2,FALSE)</f>
        <v>A11</v>
      </c>
    </row>
    <row r="47" spans="1:7" x14ac:dyDescent="0.4">
      <c r="A47" t="s">
        <v>298</v>
      </c>
      <c r="B47" s="4">
        <v>9.4989000000000004E-2</v>
      </c>
      <c r="C47">
        <v>0.11569</v>
      </c>
      <c r="D47" s="5">
        <v>612030</v>
      </c>
      <c r="E47">
        <v>2</v>
      </c>
      <c r="F47" t="s">
        <v>119</v>
      </c>
      <c r="G47" t="str">
        <f>VLOOKUP($F47,FiveParts!$A$3:$B$33,2,FALSE)</f>
        <v>A12</v>
      </c>
    </row>
    <row r="48" spans="1:7" x14ac:dyDescent="0.4">
      <c r="A48" t="s">
        <v>298</v>
      </c>
      <c r="B48" s="4">
        <v>0.31086000000000003</v>
      </c>
      <c r="C48">
        <v>0.34239000000000003</v>
      </c>
      <c r="D48" s="5">
        <v>455130</v>
      </c>
      <c r="E48">
        <v>3</v>
      </c>
      <c r="F48" s="6" t="s">
        <v>292</v>
      </c>
      <c r="G48" t="str">
        <f>VLOOKUP($F48,FiveParts!$A$3:$B$33,2,FALSE)</f>
        <v>A25</v>
      </c>
    </row>
    <row r="49" spans="1:7" x14ac:dyDescent="0.4">
      <c r="A49" t="s">
        <v>298</v>
      </c>
      <c r="B49" s="4">
        <v>0.30623</v>
      </c>
      <c r="C49">
        <v>0.33343</v>
      </c>
      <c r="D49" s="5">
        <v>461330</v>
      </c>
      <c r="E49">
        <v>3</v>
      </c>
      <c r="F49" t="s">
        <v>288</v>
      </c>
      <c r="G49" t="str">
        <f>VLOOKUP($F49,FiveParts!$A$3:$B$33,2,FALSE)</f>
        <v>A20</v>
      </c>
    </row>
    <row r="50" spans="1:7" x14ac:dyDescent="0.4">
      <c r="A50" t="s">
        <v>298</v>
      </c>
      <c r="B50" s="4">
        <v>0.29164000000000001</v>
      </c>
      <c r="C50">
        <v>0.31479000000000001</v>
      </c>
      <c r="D50" s="5">
        <v>474230</v>
      </c>
      <c r="E50">
        <v>3</v>
      </c>
      <c r="F50" t="s">
        <v>284</v>
      </c>
      <c r="G50" t="str">
        <f>VLOOKUP($F50,FiveParts!$A$3:$B$33,2,FALSE)</f>
        <v>A19</v>
      </c>
    </row>
    <row r="51" spans="1:7" x14ac:dyDescent="0.4">
      <c r="A51" t="s">
        <v>298</v>
      </c>
      <c r="B51" s="4">
        <v>0.26772000000000001</v>
      </c>
      <c r="C51">
        <v>0.28447</v>
      </c>
      <c r="D51" s="5">
        <v>495220</v>
      </c>
      <c r="E51">
        <v>3</v>
      </c>
      <c r="F51" s="6" t="s">
        <v>293</v>
      </c>
      <c r="G51" t="str">
        <f>VLOOKUP($F51,FiveParts!$A$3:$B$33,2,FALSE)</f>
        <v>A16</v>
      </c>
    </row>
    <row r="52" spans="1:7" x14ac:dyDescent="0.4">
      <c r="A52" t="s">
        <v>298</v>
      </c>
      <c r="B52" s="4">
        <v>0.26269999999999999</v>
      </c>
      <c r="C52">
        <v>0.28920000000000001</v>
      </c>
      <c r="D52" s="5">
        <v>491940</v>
      </c>
      <c r="E52">
        <v>3</v>
      </c>
      <c r="F52" t="s">
        <v>290</v>
      </c>
      <c r="G52" t="str">
        <f>VLOOKUP($F52,FiveParts!$A$3:$B$33,2,FALSE)</f>
        <v>A23</v>
      </c>
    </row>
    <row r="53" spans="1:7" x14ac:dyDescent="0.4">
      <c r="A53" t="s">
        <v>298</v>
      </c>
      <c r="B53" s="4">
        <v>0.23946999999999999</v>
      </c>
      <c r="C53">
        <v>0.26928999999999997</v>
      </c>
      <c r="D53" s="5">
        <v>505720</v>
      </c>
      <c r="E53">
        <v>3</v>
      </c>
      <c r="F53" t="s">
        <v>285</v>
      </c>
      <c r="G53" t="str">
        <f>VLOOKUP($F53,FiveParts!$A$3:$B$33,2,FALSE)</f>
        <v>A21</v>
      </c>
    </row>
    <row r="54" spans="1:7" x14ac:dyDescent="0.4">
      <c r="A54" t="s">
        <v>298</v>
      </c>
      <c r="B54" s="4">
        <v>0.23252</v>
      </c>
      <c r="C54">
        <v>0.25508999999999998</v>
      </c>
      <c r="D54" s="5">
        <v>515550</v>
      </c>
      <c r="E54">
        <v>3</v>
      </c>
      <c r="F54" s="6" t="s">
        <v>130</v>
      </c>
      <c r="G54" t="str">
        <f>VLOOKUP($F54,FiveParts!$A$3:$B$33,2,FALSE)</f>
        <v>A22</v>
      </c>
    </row>
    <row r="55" spans="1:7" x14ac:dyDescent="0.4">
      <c r="A55" t="s">
        <v>298</v>
      </c>
      <c r="B55" s="4">
        <v>0.20529</v>
      </c>
      <c r="C55">
        <v>0.23386000000000001</v>
      </c>
      <c r="D55" s="5">
        <v>530240</v>
      </c>
      <c r="E55">
        <v>3</v>
      </c>
      <c r="F55" t="s">
        <v>286</v>
      </c>
      <c r="G55" t="str">
        <f>VLOOKUP($F55,FiveParts!$A$3:$B$33,2,FALSE)</f>
        <v>A24</v>
      </c>
    </row>
    <row r="56" spans="1:7" x14ac:dyDescent="0.4">
      <c r="A56" t="s">
        <v>298</v>
      </c>
      <c r="B56" s="4">
        <v>0.17893999999999999</v>
      </c>
      <c r="C56">
        <v>0.19772000000000001</v>
      </c>
      <c r="D56" s="5">
        <v>555260</v>
      </c>
      <c r="E56">
        <v>3</v>
      </c>
      <c r="F56" t="s">
        <v>287</v>
      </c>
      <c r="G56" t="str">
        <f>VLOOKUP($F56,FiveParts!$A$3:$B$33,2,FALSE)</f>
        <v>A17</v>
      </c>
    </row>
    <row r="57" spans="1:7" x14ac:dyDescent="0.4">
      <c r="A57" t="s">
        <v>298</v>
      </c>
      <c r="B57" s="4">
        <v>0.16181000000000001</v>
      </c>
      <c r="C57">
        <v>0.18645999999999999</v>
      </c>
      <c r="D57" s="5">
        <v>563050</v>
      </c>
      <c r="E57">
        <v>3</v>
      </c>
      <c r="F57" t="s">
        <v>289</v>
      </c>
      <c r="G57" t="str">
        <f>VLOOKUP($F57,FiveParts!$A$3:$B$33,2,FALSE)</f>
        <v>A18</v>
      </c>
    </row>
    <row r="58" spans="1:7" x14ac:dyDescent="0.4">
      <c r="A58" t="s">
        <v>298</v>
      </c>
      <c r="B58" s="4">
        <v>0.35468</v>
      </c>
      <c r="C58">
        <v>0.38841999999999999</v>
      </c>
      <c r="D58" s="5">
        <v>423270</v>
      </c>
      <c r="E58">
        <v>4</v>
      </c>
      <c r="F58" t="s">
        <v>295</v>
      </c>
      <c r="G58" t="str">
        <f>VLOOKUP($F58,FiveParts!$A$3:$B$33,2,FALSE)</f>
        <v>A29</v>
      </c>
    </row>
    <row r="59" spans="1:7" x14ac:dyDescent="0.4">
      <c r="A59" t="s">
        <v>298</v>
      </c>
      <c r="B59" s="4">
        <v>0.32439000000000001</v>
      </c>
      <c r="C59">
        <v>0.35309000000000001</v>
      </c>
      <c r="D59" s="5">
        <v>447720</v>
      </c>
      <c r="E59">
        <v>4</v>
      </c>
      <c r="F59" t="s">
        <v>297</v>
      </c>
      <c r="G59" t="str">
        <f>VLOOKUP($F59,FiveParts!$A$3:$B$33,2,FALSE)</f>
        <v>A27</v>
      </c>
    </row>
    <row r="60" spans="1:7" x14ac:dyDescent="0.4">
      <c r="A60" t="s">
        <v>298</v>
      </c>
      <c r="B60" s="4">
        <v>0.32278000000000001</v>
      </c>
      <c r="C60">
        <v>0.35598000000000002</v>
      </c>
      <c r="D60" s="5">
        <v>445730</v>
      </c>
      <c r="E60">
        <v>4</v>
      </c>
      <c r="F60" s="6" t="s">
        <v>294</v>
      </c>
      <c r="G60" t="str">
        <f>VLOOKUP($F60,FiveParts!$A$3:$B$33,2,FALSE)</f>
        <v>A30</v>
      </c>
    </row>
    <row r="61" spans="1:7" x14ac:dyDescent="0.4">
      <c r="A61" t="s">
        <v>298</v>
      </c>
      <c r="B61" s="4">
        <v>0.31091999999999997</v>
      </c>
      <c r="C61">
        <v>0.33568999999999999</v>
      </c>
      <c r="D61" s="5">
        <v>459760</v>
      </c>
      <c r="E61">
        <v>4</v>
      </c>
      <c r="F61" s="6" t="s">
        <v>296</v>
      </c>
      <c r="G61" t="str">
        <f>VLOOKUP($F61,FiveParts!$A$3:$B$33,2,FALSE)</f>
        <v>A26</v>
      </c>
    </row>
    <row r="62" spans="1:7" x14ac:dyDescent="0.4">
      <c r="A62" t="s">
        <v>298</v>
      </c>
      <c r="B62" s="4">
        <v>0.24640000000000001</v>
      </c>
      <c r="C62">
        <v>0.27842</v>
      </c>
      <c r="D62" s="5">
        <v>499400</v>
      </c>
      <c r="E62">
        <v>4</v>
      </c>
      <c r="F62" t="s">
        <v>291</v>
      </c>
      <c r="G62" t="str">
        <f>VLOOKUP($F62,FiveParts!$A$3:$B$33,2,FALSE)</f>
        <v>A28</v>
      </c>
    </row>
    <row r="63" spans="1:7" x14ac:dyDescent="0.4">
      <c r="A63" t="s">
        <v>298</v>
      </c>
      <c r="B63" s="4">
        <v>0.37164999999999998</v>
      </c>
      <c r="C63">
        <v>0.40655999999999998</v>
      </c>
      <c r="D63" s="5">
        <v>410720</v>
      </c>
      <c r="E63">
        <v>5</v>
      </c>
      <c r="F63" t="s">
        <v>300</v>
      </c>
      <c r="G63" t="str">
        <f>VLOOKUP($F63,FiveParts!$A$3:$B$33,2,FALSE)</f>
        <v>A31</v>
      </c>
    </row>
    <row r="64" spans="1:7" x14ac:dyDescent="0.4">
      <c r="A64" t="s">
        <v>299</v>
      </c>
      <c r="B64" s="4">
        <v>0.14596000000000001</v>
      </c>
      <c r="C64">
        <v>0.15712999999999999</v>
      </c>
      <c r="D64" s="5">
        <v>600320</v>
      </c>
      <c r="E64">
        <v>1</v>
      </c>
      <c r="F64">
        <v>3</v>
      </c>
      <c r="G64" t="str">
        <f>VLOOKUP($F64,FiveParts!$A$3:$B$33,2,FALSE)</f>
        <v>A3</v>
      </c>
    </row>
    <row r="65" spans="1:7" x14ac:dyDescent="0.4">
      <c r="A65" t="s">
        <v>299</v>
      </c>
      <c r="B65" s="4">
        <v>6.6696000000000005E-2</v>
      </c>
      <c r="C65">
        <v>7.2796E-2</v>
      </c>
      <c r="D65" s="5">
        <v>660380</v>
      </c>
      <c r="E65">
        <v>1</v>
      </c>
      <c r="F65">
        <v>1</v>
      </c>
      <c r="G65" t="str">
        <f>VLOOKUP($F65,FiveParts!$A$3:$B$33,2,FALSE)</f>
        <v>A1</v>
      </c>
    </row>
    <row r="66" spans="1:7" x14ac:dyDescent="0.4">
      <c r="A66" t="s">
        <v>299</v>
      </c>
      <c r="B66" s="4">
        <v>5.8410999999999998E-2</v>
      </c>
      <c r="C66">
        <v>7.0719000000000004E-2</v>
      </c>
      <c r="D66" s="5">
        <v>661860</v>
      </c>
      <c r="E66">
        <v>1</v>
      </c>
      <c r="F66">
        <v>4</v>
      </c>
      <c r="G66" t="str">
        <f>VLOOKUP($F66,FiveParts!$A$3:$B$33,2,FALSE)</f>
        <v>A4</v>
      </c>
    </row>
    <row r="67" spans="1:7" x14ac:dyDescent="0.4">
      <c r="A67" t="s">
        <v>299</v>
      </c>
      <c r="B67" s="4">
        <v>5.2606E-2</v>
      </c>
      <c r="C67">
        <v>6.4990999999999993E-2</v>
      </c>
      <c r="D67" s="5">
        <v>665940</v>
      </c>
      <c r="E67">
        <v>1</v>
      </c>
      <c r="F67">
        <v>5</v>
      </c>
      <c r="G67" t="str">
        <f>VLOOKUP($F67,FiveParts!$A$3:$B$33,2,FALSE)</f>
        <v>A5</v>
      </c>
    </row>
    <row r="68" spans="1:7" x14ac:dyDescent="0.4">
      <c r="A68" t="s">
        <v>299</v>
      </c>
      <c r="B68" s="4">
        <v>1.4531000000000001E-2</v>
      </c>
      <c r="C68">
        <v>1.7752E-2</v>
      </c>
      <c r="D68" s="5">
        <v>699590</v>
      </c>
      <c r="E68">
        <v>1</v>
      </c>
      <c r="F68">
        <v>2</v>
      </c>
      <c r="G68" t="str">
        <f>VLOOKUP($F68,FiveParts!$A$3:$B$33,2,FALSE)</f>
        <v>A2</v>
      </c>
    </row>
    <row r="69" spans="1:7" x14ac:dyDescent="0.4">
      <c r="A69" t="s">
        <v>299</v>
      </c>
      <c r="B69" s="4">
        <v>0.22597</v>
      </c>
      <c r="C69">
        <v>0.24115</v>
      </c>
      <c r="D69" s="5">
        <v>540480</v>
      </c>
      <c r="E69">
        <v>2</v>
      </c>
      <c r="F69" t="s">
        <v>111</v>
      </c>
      <c r="G69" t="str">
        <f>VLOOKUP($F69,FiveParts!$A$3:$B$33,2,FALSE)</f>
        <v>A7</v>
      </c>
    </row>
    <row r="70" spans="1:7" x14ac:dyDescent="0.4">
      <c r="A70" t="s">
        <v>299</v>
      </c>
      <c r="B70" s="4">
        <v>0.22442999999999999</v>
      </c>
      <c r="C70">
        <v>0.2447</v>
      </c>
      <c r="D70" s="5">
        <v>537940</v>
      </c>
      <c r="E70">
        <v>2</v>
      </c>
      <c r="F70" t="s">
        <v>283</v>
      </c>
      <c r="G70" t="str">
        <f>VLOOKUP($F70,FiveParts!$A$3:$B$33,2,FALSE)</f>
        <v>A14</v>
      </c>
    </row>
    <row r="71" spans="1:7" x14ac:dyDescent="0.4">
      <c r="A71" t="s">
        <v>299</v>
      </c>
      <c r="B71" s="4">
        <v>0.19721</v>
      </c>
      <c r="C71">
        <v>0.21820000000000001</v>
      </c>
      <c r="D71" s="5">
        <v>556820</v>
      </c>
      <c r="E71">
        <v>2</v>
      </c>
      <c r="F71" t="s">
        <v>121</v>
      </c>
      <c r="G71" t="str">
        <f>VLOOKUP($F71,FiveParts!$A$3:$B$33,2,FALSE)</f>
        <v>A13</v>
      </c>
    </row>
    <row r="72" spans="1:7" x14ac:dyDescent="0.4">
      <c r="A72" t="s">
        <v>299</v>
      </c>
      <c r="B72" s="4">
        <v>0.16621</v>
      </c>
      <c r="C72">
        <v>0.17984</v>
      </c>
      <c r="D72" s="5">
        <v>584140</v>
      </c>
      <c r="E72">
        <v>2</v>
      </c>
      <c r="F72" t="s">
        <v>282</v>
      </c>
      <c r="G72" t="str">
        <f>VLOOKUP($F72,FiveParts!$A$3:$B$33,2,FALSE)</f>
        <v>A10</v>
      </c>
    </row>
    <row r="73" spans="1:7" x14ac:dyDescent="0.4">
      <c r="A73" t="s">
        <v>299</v>
      </c>
      <c r="B73" s="4">
        <v>0.12456</v>
      </c>
      <c r="C73">
        <v>0.14172000000000001</v>
      </c>
      <c r="D73" s="5">
        <v>611290</v>
      </c>
      <c r="E73">
        <v>2</v>
      </c>
      <c r="F73" t="s">
        <v>280</v>
      </c>
      <c r="G73" t="str">
        <f>VLOOKUP($F73,FiveParts!$A$3:$B$33,2,FALSE)</f>
        <v>A8</v>
      </c>
    </row>
    <row r="74" spans="1:7" x14ac:dyDescent="0.4">
      <c r="A74" t="s">
        <v>299</v>
      </c>
      <c r="B74" s="4">
        <v>0.12382</v>
      </c>
      <c r="C74">
        <v>0.14099999999999999</v>
      </c>
      <c r="D74" s="5">
        <v>611810</v>
      </c>
      <c r="E74">
        <v>2</v>
      </c>
      <c r="F74" t="s">
        <v>115</v>
      </c>
      <c r="G74" t="str">
        <f>VLOOKUP($F74,FiveParts!$A$3:$B$33,2,FALSE)</f>
        <v>A9</v>
      </c>
    </row>
    <row r="75" spans="1:7" x14ac:dyDescent="0.4">
      <c r="A75" t="s">
        <v>299</v>
      </c>
      <c r="B75" s="4">
        <v>0.12192</v>
      </c>
      <c r="C75">
        <v>0.14488000000000001</v>
      </c>
      <c r="D75" s="5">
        <v>609040</v>
      </c>
      <c r="E75">
        <v>2</v>
      </c>
      <c r="F75" t="s">
        <v>281</v>
      </c>
      <c r="G75" t="str">
        <f>VLOOKUP($F75,FiveParts!$A$3:$B$33,2,FALSE)</f>
        <v>A15</v>
      </c>
    </row>
    <row r="76" spans="1:7" x14ac:dyDescent="0.4">
      <c r="A76" t="s">
        <v>299</v>
      </c>
      <c r="B76" s="4">
        <v>7.2586999999999999E-2</v>
      </c>
      <c r="C76">
        <v>8.1679000000000002E-2</v>
      </c>
      <c r="D76" s="5">
        <v>654050</v>
      </c>
      <c r="E76">
        <v>2</v>
      </c>
      <c r="F76" t="s">
        <v>109</v>
      </c>
      <c r="G76" t="str">
        <f>VLOOKUP($F76,FiveParts!$A$3:$B$33,2,FALSE)</f>
        <v>A6</v>
      </c>
    </row>
    <row r="77" spans="1:7" x14ac:dyDescent="0.4">
      <c r="A77" t="s">
        <v>299</v>
      </c>
      <c r="B77" s="4">
        <v>7.2572999999999999E-2</v>
      </c>
      <c r="C77">
        <v>8.7726999999999999E-2</v>
      </c>
      <c r="D77" s="5">
        <v>649750</v>
      </c>
      <c r="E77">
        <v>2</v>
      </c>
      <c r="F77" t="s">
        <v>117</v>
      </c>
      <c r="G77" t="str">
        <f>VLOOKUP($F77,FiveParts!$A$3:$B$33,2,FALSE)</f>
        <v>A11</v>
      </c>
    </row>
    <row r="78" spans="1:7" x14ac:dyDescent="0.4">
      <c r="A78" t="s">
        <v>299</v>
      </c>
      <c r="B78" s="4">
        <v>6.2653E-2</v>
      </c>
      <c r="C78">
        <v>7.7969999999999998E-2</v>
      </c>
      <c r="D78" s="5">
        <v>656700</v>
      </c>
      <c r="E78">
        <v>2</v>
      </c>
      <c r="F78" t="s">
        <v>119</v>
      </c>
      <c r="G78" t="str">
        <f>VLOOKUP($F78,FiveParts!$A$3:$B$33,2,FALSE)</f>
        <v>A12</v>
      </c>
    </row>
    <row r="79" spans="1:7" x14ac:dyDescent="0.4">
      <c r="A79" t="s">
        <v>299</v>
      </c>
      <c r="B79" s="4">
        <v>0.27498</v>
      </c>
      <c r="C79">
        <v>0.29866999999999999</v>
      </c>
      <c r="D79" s="5">
        <v>499510</v>
      </c>
      <c r="E79">
        <v>3</v>
      </c>
      <c r="F79" t="s">
        <v>288</v>
      </c>
      <c r="G79" t="str">
        <f>VLOOKUP($F79,FiveParts!$A$3:$B$33,2,FALSE)</f>
        <v>A20</v>
      </c>
    </row>
    <row r="80" spans="1:7" x14ac:dyDescent="0.4">
      <c r="A80" t="s">
        <v>299</v>
      </c>
      <c r="B80" s="4">
        <v>0.25335999999999997</v>
      </c>
      <c r="C80">
        <v>0.28264</v>
      </c>
      <c r="D80" s="5">
        <v>510920</v>
      </c>
      <c r="E80">
        <v>3</v>
      </c>
      <c r="F80" s="6" t="s">
        <v>292</v>
      </c>
      <c r="G80" t="str">
        <f>VLOOKUP($F80,FiveParts!$A$3:$B$33,2,FALSE)</f>
        <v>A25</v>
      </c>
    </row>
    <row r="81" spans="1:7" x14ac:dyDescent="0.4">
      <c r="A81" t="s">
        <v>299</v>
      </c>
      <c r="B81" s="4">
        <v>0.24587999999999999</v>
      </c>
      <c r="C81">
        <v>0.27052999999999999</v>
      </c>
      <c r="D81" s="5">
        <v>519550</v>
      </c>
      <c r="E81">
        <v>3</v>
      </c>
      <c r="F81" t="s">
        <v>284</v>
      </c>
      <c r="G81" t="str">
        <f>VLOOKUP($F81,FiveParts!$A$3:$B$33,2,FALSE)</f>
        <v>A19</v>
      </c>
    </row>
    <row r="82" spans="1:7" x14ac:dyDescent="0.4">
      <c r="A82" t="s">
        <v>299</v>
      </c>
      <c r="B82" s="4">
        <v>0.24534</v>
      </c>
      <c r="C82">
        <v>0.26261000000000001</v>
      </c>
      <c r="D82" s="5">
        <v>525190</v>
      </c>
      <c r="E82">
        <v>3</v>
      </c>
      <c r="F82" s="6" t="s">
        <v>293</v>
      </c>
      <c r="G82" t="str">
        <f>VLOOKUP($F82,FiveParts!$A$3:$B$33,2,FALSE)</f>
        <v>A16</v>
      </c>
    </row>
    <row r="83" spans="1:7" x14ac:dyDescent="0.4">
      <c r="A83" t="s">
        <v>299</v>
      </c>
      <c r="B83" s="4">
        <v>0.23876</v>
      </c>
      <c r="C83">
        <v>0.26114999999999999</v>
      </c>
      <c r="D83" s="5">
        <v>526230</v>
      </c>
      <c r="E83">
        <v>3</v>
      </c>
      <c r="F83" t="s">
        <v>290</v>
      </c>
      <c r="G83" t="str">
        <f>VLOOKUP($F83,FiveParts!$A$3:$B$33,2,FALSE)</f>
        <v>A23</v>
      </c>
    </row>
    <row r="84" spans="1:7" x14ac:dyDescent="0.4">
      <c r="A84" t="s">
        <v>299</v>
      </c>
      <c r="B84" s="4">
        <v>0.21661</v>
      </c>
      <c r="C84">
        <v>0.23965</v>
      </c>
      <c r="D84" s="5">
        <v>541540</v>
      </c>
      <c r="E84">
        <v>3</v>
      </c>
      <c r="F84" s="6" t="s">
        <v>130</v>
      </c>
      <c r="G84" t="str">
        <f>VLOOKUP($F84,FiveParts!$A$3:$B$33,2,FALSE)</f>
        <v>A22</v>
      </c>
    </row>
    <row r="85" spans="1:7" x14ac:dyDescent="0.4">
      <c r="A85" t="s">
        <v>299</v>
      </c>
      <c r="B85" s="4">
        <v>0.18321999999999999</v>
      </c>
      <c r="C85">
        <v>0.20991000000000001</v>
      </c>
      <c r="D85" s="5">
        <v>562720</v>
      </c>
      <c r="E85">
        <v>3</v>
      </c>
      <c r="F85" t="s">
        <v>285</v>
      </c>
      <c r="G85" t="str">
        <f>VLOOKUP($F85,FiveParts!$A$3:$B$33,2,FALSE)</f>
        <v>A21</v>
      </c>
    </row>
    <row r="86" spans="1:7" x14ac:dyDescent="0.4">
      <c r="A86" t="s">
        <v>299</v>
      </c>
      <c r="B86" s="4">
        <v>0.13244</v>
      </c>
      <c r="C86">
        <v>0.15795999999999999</v>
      </c>
      <c r="D86" s="5">
        <v>599730</v>
      </c>
      <c r="E86">
        <v>3</v>
      </c>
      <c r="F86" t="s">
        <v>286</v>
      </c>
      <c r="G86" t="str">
        <f>VLOOKUP($F86,FiveParts!$A$3:$B$33,2,FALSE)</f>
        <v>A24</v>
      </c>
    </row>
    <row r="87" spans="1:7" x14ac:dyDescent="0.4">
      <c r="A87" t="s">
        <v>299</v>
      </c>
      <c r="B87" s="4">
        <v>0.13156999999999999</v>
      </c>
      <c r="C87">
        <v>0.15143000000000001</v>
      </c>
      <c r="D87" s="5">
        <v>604370</v>
      </c>
      <c r="E87">
        <v>3</v>
      </c>
      <c r="F87" t="s">
        <v>287</v>
      </c>
      <c r="G87" t="str">
        <f>VLOOKUP($F87,FiveParts!$A$3:$B$33,2,FALSE)</f>
        <v>A17</v>
      </c>
    </row>
    <row r="88" spans="1:7" x14ac:dyDescent="0.4">
      <c r="A88" t="s">
        <v>299</v>
      </c>
      <c r="B88" s="4">
        <v>0.13064999999999999</v>
      </c>
      <c r="C88">
        <v>0.15053</v>
      </c>
      <c r="D88" s="5">
        <v>605010</v>
      </c>
      <c r="E88">
        <v>3</v>
      </c>
      <c r="F88" t="s">
        <v>289</v>
      </c>
      <c r="G88" t="str">
        <f>VLOOKUP($F88,FiveParts!$A$3:$B$33,2,FALSE)</f>
        <v>A18</v>
      </c>
    </row>
    <row r="89" spans="1:7" x14ac:dyDescent="0.4">
      <c r="A89" t="s">
        <v>299</v>
      </c>
      <c r="B89" s="4">
        <v>0.29507</v>
      </c>
      <c r="C89">
        <v>0.32040999999999997</v>
      </c>
      <c r="D89" s="5">
        <v>484020</v>
      </c>
      <c r="E89">
        <v>4</v>
      </c>
      <c r="F89" t="s">
        <v>297</v>
      </c>
      <c r="G89" t="str">
        <f>VLOOKUP($F89,FiveParts!$A$3:$B$33,2,FALSE)</f>
        <v>A27</v>
      </c>
    </row>
    <row r="90" spans="1:7" x14ac:dyDescent="0.4">
      <c r="A90" t="s">
        <v>299</v>
      </c>
      <c r="B90" s="4">
        <v>0.29121000000000002</v>
      </c>
      <c r="C90">
        <v>0.32363999999999998</v>
      </c>
      <c r="D90" s="5">
        <v>481730</v>
      </c>
      <c r="E90">
        <v>4</v>
      </c>
      <c r="F90" t="s">
        <v>295</v>
      </c>
      <c r="G90" t="str">
        <f>VLOOKUP($F90,FiveParts!$A$3:$B$33,2,FALSE)</f>
        <v>A29</v>
      </c>
    </row>
    <row r="91" spans="1:7" x14ac:dyDescent="0.4">
      <c r="A91" t="s">
        <v>299</v>
      </c>
      <c r="B91" s="4">
        <v>0.26835999999999999</v>
      </c>
      <c r="C91">
        <v>0.29943999999999998</v>
      </c>
      <c r="D91" s="5">
        <v>498960</v>
      </c>
      <c r="E91">
        <v>4</v>
      </c>
      <c r="F91" s="6" t="s">
        <v>294</v>
      </c>
      <c r="G91" t="str">
        <f>VLOOKUP($F91,FiveParts!$A$3:$B$33,2,FALSE)</f>
        <v>A30</v>
      </c>
    </row>
    <row r="92" spans="1:7" x14ac:dyDescent="0.4">
      <c r="A92" t="s">
        <v>299</v>
      </c>
      <c r="B92" s="4">
        <v>0.26462999999999998</v>
      </c>
      <c r="C92">
        <v>0.29107</v>
      </c>
      <c r="D92" s="5">
        <v>504920</v>
      </c>
      <c r="E92">
        <v>4</v>
      </c>
      <c r="F92" s="6" t="s">
        <v>296</v>
      </c>
      <c r="G92" t="str">
        <f>VLOOKUP($F92,FiveParts!$A$3:$B$33,2,FALSE)</f>
        <v>A26</v>
      </c>
    </row>
    <row r="93" spans="1:7" x14ac:dyDescent="0.4">
      <c r="A93" t="s">
        <v>299</v>
      </c>
      <c r="B93" s="4">
        <v>0.19116</v>
      </c>
      <c r="C93">
        <v>0.22023999999999999</v>
      </c>
      <c r="D93" s="5">
        <v>555370</v>
      </c>
      <c r="E93">
        <v>4</v>
      </c>
      <c r="F93" t="s">
        <v>291</v>
      </c>
      <c r="G93" t="str">
        <f>VLOOKUP($F93,FiveParts!$A$3:$B$33,2,FALSE)</f>
        <v>A28</v>
      </c>
    </row>
    <row r="94" spans="1:7" x14ac:dyDescent="0.4">
      <c r="A94" t="s">
        <v>299</v>
      </c>
      <c r="B94" s="4">
        <v>0.31030000000000002</v>
      </c>
      <c r="C94">
        <v>0.34411000000000003</v>
      </c>
      <c r="D94" s="5">
        <v>467140</v>
      </c>
      <c r="E94">
        <v>5</v>
      </c>
      <c r="F94" t="s">
        <v>300</v>
      </c>
      <c r="G94" t="str">
        <f>VLOOKUP($F94,FiveParts!$A$3:$B$33,2,FALSE)</f>
        <v>A31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A0EA-26C7-468B-94A2-3E91E02B1FA1}">
  <dimension ref="A1:E6"/>
  <sheetViews>
    <sheetView workbookViewId="0">
      <selection activeCell="E7" sqref="E7"/>
    </sheetView>
  </sheetViews>
  <sheetFormatPr defaultRowHeight="14.6" x14ac:dyDescent="0.4"/>
  <sheetData>
    <row r="1" spans="1:5" x14ac:dyDescent="0.4">
      <c r="A1" t="s">
        <v>309</v>
      </c>
      <c r="D1" t="s">
        <v>310</v>
      </c>
    </row>
    <row r="2" spans="1:5" x14ac:dyDescent="0.4">
      <c r="A2">
        <v>1</v>
      </c>
      <c r="B2" t="s">
        <v>306</v>
      </c>
      <c r="D2">
        <v>1</v>
      </c>
      <c r="E2" t="s">
        <v>304</v>
      </c>
    </row>
    <row r="3" spans="1:5" x14ac:dyDescent="0.4">
      <c r="A3">
        <v>2</v>
      </c>
      <c r="B3" t="s">
        <v>307</v>
      </c>
      <c r="D3">
        <v>2</v>
      </c>
      <c r="E3" t="s">
        <v>305</v>
      </c>
    </row>
    <row r="4" spans="1:5" x14ac:dyDescent="0.4">
      <c r="A4">
        <v>3</v>
      </c>
      <c r="B4" t="s">
        <v>308</v>
      </c>
      <c r="D4">
        <v>3</v>
      </c>
      <c r="E4" t="s">
        <v>306</v>
      </c>
    </row>
    <row r="5" spans="1:5" x14ac:dyDescent="0.4">
      <c r="A5">
        <v>4</v>
      </c>
      <c r="B5" t="s">
        <v>304</v>
      </c>
      <c r="D5">
        <v>4</v>
      </c>
      <c r="E5" t="s">
        <v>307</v>
      </c>
    </row>
    <row r="6" spans="1:5" x14ac:dyDescent="0.4">
      <c r="A6">
        <v>5</v>
      </c>
      <c r="B6" t="s">
        <v>305</v>
      </c>
      <c r="D6">
        <v>5</v>
      </c>
      <c r="E6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FiveParts</vt:lpstr>
      <vt:lpstr>Results_cor</vt:lpstr>
      <vt:lpstr>Results_nocor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J Yamashita</dc:creator>
  <cp:lastModifiedBy>Thomas J Yamashita</cp:lastModifiedBy>
  <dcterms:created xsi:type="dcterms:W3CDTF">2024-04-29T21:36:17Z</dcterms:created>
  <dcterms:modified xsi:type="dcterms:W3CDTF">2024-05-14T15:37:59Z</dcterms:modified>
</cp:coreProperties>
</file>